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ckmason/Downloads/"/>
    </mc:Choice>
  </mc:AlternateContent>
  <xr:revisionPtr revIDLastSave="0" documentId="13_ncr:1_{E662E4FC-20FB-8042-80D2-65D4D4BE75A9}" xr6:coauthVersionLast="47" xr6:coauthVersionMax="47" xr10:uidLastSave="{00000000-0000-0000-0000-000000000000}"/>
  <bookViews>
    <workbookView xWindow="0" yWindow="760" windowWidth="29400" windowHeight="18360" activeTab="1" xr2:uid="{0B64B461-2241-DB41-B898-D67029190304}"/>
  </bookViews>
  <sheets>
    <sheet name="Cover" sheetId="6" r:id="rId1"/>
    <sheet name="quarterly IS" sheetId="3" r:id="rId2"/>
    <sheet name="annual IS" sheetId="1" r:id="rId3"/>
    <sheet name="Balance Sheet" sheetId="4" r:id="rId4"/>
    <sheet name="Expense Build" sheetId="2" r:id="rId5"/>
    <sheet name="Revenue Build" sheetId="5" r:id="rId6"/>
    <sheet name="Balance Sheet Build" sheetId="7" r:id="rId7"/>
    <sheet name="Cash Flow Statement" sheetId="8" r:id="rId8"/>
    <sheet name="IRR" sheetId="9" r:id="rId9"/>
    <sheet name="DCF" sheetId="10" r:id="rId10"/>
    <sheet name="KPIs" sheetId="11" state="hidden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2" l="1"/>
  <c r="AD20" i="2"/>
  <c r="AC20" i="2"/>
  <c r="AB20" i="2"/>
  <c r="AA20" i="2"/>
  <c r="AE19" i="2"/>
  <c r="AD19" i="2"/>
  <c r="AC19" i="2"/>
  <c r="AB19" i="2"/>
  <c r="AA19" i="2"/>
  <c r="D22" i="11"/>
  <c r="D11" i="11" s="1"/>
  <c r="D8" i="11"/>
  <c r="K12" i="10"/>
  <c r="C10" i="10" s="1"/>
  <c r="C21" i="10"/>
  <c r="C24" i="9"/>
  <c r="C4" i="9"/>
  <c r="C23" i="9" s="1"/>
  <c r="C39" i="9"/>
  <c r="C38" i="9"/>
  <c r="C37" i="9"/>
  <c r="C36" i="9"/>
  <c r="C35" i="9"/>
  <c r="D34" i="9"/>
  <c r="E34" i="9" s="1"/>
  <c r="F34" i="9" s="1"/>
  <c r="G34" i="9" s="1"/>
  <c r="H34" i="9" s="1"/>
  <c r="C30" i="9"/>
  <c r="C22" i="9"/>
  <c r="D21" i="9"/>
  <c r="E21" i="9" s="1"/>
  <c r="F21" i="9" s="1"/>
  <c r="G21" i="9" s="1"/>
  <c r="H21" i="9" s="1"/>
  <c r="C18" i="9"/>
  <c r="C17" i="9"/>
  <c r="C16" i="9"/>
  <c r="C15" i="9"/>
  <c r="C14" i="9"/>
  <c r="D13" i="9"/>
  <c r="E13" i="9" s="1"/>
  <c r="F13" i="9" s="1"/>
  <c r="G13" i="9" s="1"/>
  <c r="H13" i="9" s="1"/>
  <c r="D2" i="9"/>
  <c r="E2" i="9" s="1"/>
  <c r="F2" i="9" s="1"/>
  <c r="G2" i="9" s="1"/>
  <c r="H2" i="9" s="1"/>
  <c r="C25" i="9" l="1"/>
  <c r="E10" i="10"/>
  <c r="D10" i="10"/>
  <c r="G10" i="10"/>
  <c r="F10" i="10"/>
  <c r="C26" i="9" l="1"/>
  <c r="AA11" i="4"/>
  <c r="H24" i="7"/>
  <c r="I24" i="7"/>
  <c r="G30" i="8"/>
  <c r="C30" i="8"/>
  <c r="C2" i="8"/>
  <c r="D2" i="8" s="1"/>
  <c r="E2" i="8" s="1"/>
  <c r="F2" i="8" s="1"/>
  <c r="G2" i="8" s="1"/>
  <c r="N41" i="2"/>
  <c r="O41" i="2"/>
  <c r="P41" i="2"/>
  <c r="Q41" i="2"/>
  <c r="S41" i="2"/>
  <c r="T41" i="2"/>
  <c r="U41" i="2"/>
  <c r="V41" i="2"/>
  <c r="D40" i="4"/>
  <c r="C40" i="4"/>
  <c r="AB35" i="4"/>
  <c r="AC35" i="4" s="1"/>
  <c r="AD35" i="4" s="1"/>
  <c r="AE35" i="4" s="1"/>
  <c r="AB33" i="4"/>
  <c r="AC33" i="4"/>
  <c r="AD33" i="4"/>
  <c r="AE33" i="4"/>
  <c r="AA33" i="4"/>
  <c r="H24" i="1"/>
  <c r="K24" i="1"/>
  <c r="L24" i="1"/>
  <c r="J24" i="1"/>
  <c r="I24" i="1"/>
  <c r="X14" i="4"/>
  <c r="Y14" i="4"/>
  <c r="Z14" i="4"/>
  <c r="D14" i="4"/>
  <c r="E14" i="4"/>
  <c r="F14" i="4"/>
  <c r="G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C14" i="4"/>
  <c r="AB12" i="4"/>
  <c r="AC12" i="4"/>
  <c r="AD12" i="4"/>
  <c r="X8" i="2"/>
  <c r="Y8" i="2"/>
  <c r="Z8" i="2"/>
  <c r="AC2" i="2"/>
  <c r="AD2" i="2"/>
  <c r="AE2" i="2"/>
  <c r="AB2" i="2"/>
  <c r="X15" i="2"/>
  <c r="X23" i="2" s="1"/>
  <c r="Y15" i="2"/>
  <c r="Y23" i="2" s="1"/>
  <c r="Z15" i="2"/>
  <c r="Z23" i="2"/>
  <c r="AC27" i="2"/>
  <c r="AD27" i="2"/>
  <c r="AE27" i="2"/>
  <c r="AB27" i="2"/>
  <c r="N28" i="2"/>
  <c r="O28" i="2"/>
  <c r="P28" i="2"/>
  <c r="S28" i="2"/>
  <c r="T28" i="2"/>
  <c r="U28" i="2"/>
  <c r="N29" i="2"/>
  <c r="O29" i="2"/>
  <c r="P29" i="2"/>
  <c r="S29" i="2"/>
  <c r="T29" i="2"/>
  <c r="U29" i="2"/>
  <c r="D27" i="2"/>
  <c r="E27" i="2"/>
  <c r="F27" i="2"/>
  <c r="N27" i="2"/>
  <c r="O27" i="2"/>
  <c r="P27" i="2"/>
  <c r="S27" i="2"/>
  <c r="T27" i="2"/>
  <c r="U27" i="2"/>
  <c r="C28" i="2"/>
  <c r="C29" i="2"/>
  <c r="C27" i="2"/>
  <c r="N33" i="2"/>
  <c r="O33" i="2"/>
  <c r="P33" i="2"/>
  <c r="S33" i="2"/>
  <c r="T33" i="2"/>
  <c r="U33" i="2"/>
  <c r="I34" i="2"/>
  <c r="J34" i="2"/>
  <c r="K34" i="2"/>
  <c r="N34" i="2"/>
  <c r="O34" i="2"/>
  <c r="P34" i="2"/>
  <c r="S34" i="2"/>
  <c r="T34" i="2"/>
  <c r="U34" i="2"/>
  <c r="I35" i="2"/>
  <c r="J35" i="2"/>
  <c r="K35" i="2"/>
  <c r="N35" i="2"/>
  <c r="O35" i="2"/>
  <c r="P35" i="2"/>
  <c r="S35" i="2"/>
  <c r="T35" i="2"/>
  <c r="U35" i="2"/>
  <c r="N32" i="2"/>
  <c r="O32" i="2"/>
  <c r="P32" i="2"/>
  <c r="S32" i="2"/>
  <c r="T32" i="2"/>
  <c r="U32" i="2"/>
  <c r="H31" i="3"/>
  <c r="D38" i="2"/>
  <c r="E38" i="2"/>
  <c r="F38" i="2"/>
  <c r="I38" i="2"/>
  <c r="K38" i="2"/>
  <c r="N38" i="2"/>
  <c r="O38" i="2"/>
  <c r="P38" i="2"/>
  <c r="S38" i="2"/>
  <c r="T38" i="2"/>
  <c r="U38" i="2"/>
  <c r="C38" i="2"/>
  <c r="L39" i="2"/>
  <c r="N39" i="2"/>
  <c r="O39" i="2"/>
  <c r="P39" i="2"/>
  <c r="Q39" i="2"/>
  <c r="S39" i="2"/>
  <c r="T39" i="2"/>
  <c r="U39" i="2"/>
  <c r="V39" i="2"/>
  <c r="D35" i="3"/>
  <c r="E35" i="3"/>
  <c r="F35" i="3"/>
  <c r="I35" i="3"/>
  <c r="J35" i="3"/>
  <c r="K35" i="3"/>
  <c r="N35" i="3"/>
  <c r="O35" i="3"/>
  <c r="P35" i="3"/>
  <c r="S35" i="3"/>
  <c r="T35" i="3"/>
  <c r="U35" i="3"/>
  <c r="X35" i="3"/>
  <c r="Y35" i="3"/>
  <c r="Z35" i="3"/>
  <c r="C35" i="3"/>
  <c r="D58" i="7"/>
  <c r="D61" i="7" s="1"/>
  <c r="E58" i="7" s="1"/>
  <c r="I51" i="7"/>
  <c r="J51" i="7" s="1"/>
  <c r="K51" i="7" s="1"/>
  <c r="L51" i="7" s="1"/>
  <c r="C51" i="7"/>
  <c r="D51" i="7"/>
  <c r="E50" i="7"/>
  <c r="F50" i="7"/>
  <c r="G50" i="7"/>
  <c r="H50" i="7"/>
  <c r="D50" i="7"/>
  <c r="H47" i="1"/>
  <c r="H46" i="1"/>
  <c r="I46" i="1" s="1"/>
  <c r="J46" i="1" s="1"/>
  <c r="K46" i="1" s="1"/>
  <c r="L46" i="1" s="1"/>
  <c r="H20" i="7"/>
  <c r="I20" i="7" s="1"/>
  <c r="H21" i="7"/>
  <c r="H22" i="7" s="1"/>
  <c r="G22" i="7"/>
  <c r="F22" i="7"/>
  <c r="AB2" i="4"/>
  <c r="AC2" i="4" s="1"/>
  <c r="AD2" i="4" s="1"/>
  <c r="AE2" i="4" s="1"/>
  <c r="I11" i="7"/>
  <c r="J11" i="7" s="1"/>
  <c r="K11" i="7" s="1"/>
  <c r="L11" i="7" s="1"/>
  <c r="D2" i="7"/>
  <c r="E2" i="7" s="1"/>
  <c r="F2" i="7" s="1"/>
  <c r="G2" i="7" s="1"/>
  <c r="H2" i="7" s="1"/>
  <c r="I2" i="7" s="1"/>
  <c r="J2" i="7" s="1"/>
  <c r="K2" i="7" s="1"/>
  <c r="L2" i="7" s="1"/>
  <c r="I6" i="1"/>
  <c r="J6" i="1"/>
  <c r="K6" i="1"/>
  <c r="K28" i="2" s="1"/>
  <c r="L6" i="1"/>
  <c r="Y4" i="5"/>
  <c r="Z4" i="5"/>
  <c r="AA4" i="5"/>
  <c r="AB4" i="5"/>
  <c r="Y52" i="5"/>
  <c r="Z52" i="5"/>
  <c r="AA52" i="5"/>
  <c r="AB52" i="5"/>
  <c r="Y68" i="5"/>
  <c r="Z68" i="5" s="1"/>
  <c r="AA68" i="5" s="1"/>
  <c r="AB68" i="5" s="1"/>
  <c r="C57" i="5"/>
  <c r="C55" i="5"/>
  <c r="AA24" i="5"/>
  <c r="AB24" i="5" s="1"/>
  <c r="D18" i="5"/>
  <c r="E18" i="5"/>
  <c r="F18" i="5"/>
  <c r="G18" i="5"/>
  <c r="I18" i="5"/>
  <c r="J18" i="5"/>
  <c r="K18" i="5"/>
  <c r="L18" i="5"/>
  <c r="N18" i="5"/>
  <c r="O18" i="5"/>
  <c r="P18" i="5"/>
  <c r="Q18" i="5"/>
  <c r="S18" i="5"/>
  <c r="T18" i="5"/>
  <c r="U18" i="5"/>
  <c r="V18" i="5"/>
  <c r="C18" i="5"/>
  <c r="I24" i="5"/>
  <c r="J24" i="5"/>
  <c r="K24" i="5"/>
  <c r="L24" i="5"/>
  <c r="N24" i="5"/>
  <c r="O24" i="5"/>
  <c r="P24" i="5"/>
  <c r="Q24" i="5"/>
  <c r="S24" i="5"/>
  <c r="T24" i="5"/>
  <c r="U24" i="5"/>
  <c r="V24" i="5"/>
  <c r="X16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H17" i="5"/>
  <c r="D45" i="5"/>
  <c r="E45" i="5"/>
  <c r="F45" i="5"/>
  <c r="G45" i="5"/>
  <c r="I45" i="5"/>
  <c r="J45" i="5"/>
  <c r="K45" i="5"/>
  <c r="L45" i="5"/>
  <c r="N45" i="5"/>
  <c r="O45" i="5"/>
  <c r="P45" i="5"/>
  <c r="Q45" i="5"/>
  <c r="S45" i="5"/>
  <c r="T45" i="5"/>
  <c r="U45" i="5"/>
  <c r="V45" i="5"/>
  <c r="C45" i="5"/>
  <c r="D43" i="5"/>
  <c r="E43" i="5"/>
  <c r="F43" i="5"/>
  <c r="G43" i="5"/>
  <c r="I43" i="5"/>
  <c r="J43" i="5"/>
  <c r="K43" i="5"/>
  <c r="L43" i="5"/>
  <c r="N43" i="5"/>
  <c r="O43" i="5"/>
  <c r="P43" i="5"/>
  <c r="Q43" i="5"/>
  <c r="S43" i="5"/>
  <c r="T43" i="5"/>
  <c r="U43" i="5"/>
  <c r="V43" i="5"/>
  <c r="C43" i="5"/>
  <c r="I47" i="1" l="1"/>
  <c r="D4" i="9"/>
  <c r="I28" i="2"/>
  <c r="J28" i="2"/>
  <c r="C25" i="8"/>
  <c r="E61" i="7"/>
  <c r="F58" i="7" s="1"/>
  <c r="F61" i="7" s="1"/>
  <c r="G58" i="7" s="1"/>
  <c r="J20" i="7"/>
  <c r="K20" i="7" s="1"/>
  <c r="L20" i="7" s="1"/>
  <c r="I21" i="7"/>
  <c r="J21" i="7" s="1"/>
  <c r="J22" i="7" s="1"/>
  <c r="AC11" i="4" s="1"/>
  <c r="Y16" i="5"/>
  <c r="I40" i="5"/>
  <c r="J40" i="5"/>
  <c r="K40" i="5"/>
  <c r="L40" i="5"/>
  <c r="N40" i="5"/>
  <c r="O40" i="5"/>
  <c r="P40" i="5"/>
  <c r="Q40" i="5"/>
  <c r="S40" i="5"/>
  <c r="T40" i="5"/>
  <c r="U40" i="5"/>
  <c r="V40" i="5"/>
  <c r="I38" i="5"/>
  <c r="I41" i="5" s="1"/>
  <c r="J38" i="5"/>
  <c r="J41" i="5" s="1"/>
  <c r="K38" i="5"/>
  <c r="K41" i="5" s="1"/>
  <c r="L38" i="5"/>
  <c r="L41" i="5" s="1"/>
  <c r="N38" i="5"/>
  <c r="N41" i="5" s="1"/>
  <c r="O38" i="5"/>
  <c r="O41" i="5" s="1"/>
  <c r="P38" i="5"/>
  <c r="P41" i="5" s="1"/>
  <c r="Q38" i="5"/>
  <c r="Q41" i="5" s="1"/>
  <c r="S38" i="5"/>
  <c r="S41" i="5" s="1"/>
  <c r="T38" i="5"/>
  <c r="T41" i="5" s="1"/>
  <c r="U38" i="5"/>
  <c r="U41" i="5" s="1"/>
  <c r="V38" i="5"/>
  <c r="V41" i="5" s="1"/>
  <c r="I22" i="5"/>
  <c r="J22" i="5"/>
  <c r="K22" i="5"/>
  <c r="L22" i="5"/>
  <c r="N22" i="5"/>
  <c r="O22" i="5"/>
  <c r="P22" i="5"/>
  <c r="Q22" i="5"/>
  <c r="S22" i="5"/>
  <c r="T22" i="5"/>
  <c r="U22" i="5"/>
  <c r="V22" i="5"/>
  <c r="D41" i="5"/>
  <c r="W39" i="5"/>
  <c r="W37" i="5"/>
  <c r="R39" i="5"/>
  <c r="R37" i="5"/>
  <c r="M39" i="5"/>
  <c r="M37" i="5"/>
  <c r="H39" i="5"/>
  <c r="H37" i="5"/>
  <c r="W21" i="5"/>
  <c r="W23" i="5"/>
  <c r="R23" i="5"/>
  <c r="R21" i="5"/>
  <c r="M21" i="5"/>
  <c r="M23" i="5"/>
  <c r="M24" i="5" s="1"/>
  <c r="I25" i="5"/>
  <c r="N25" i="5"/>
  <c r="O25" i="5"/>
  <c r="P25" i="5"/>
  <c r="Q25" i="5"/>
  <c r="S25" i="5"/>
  <c r="T25" i="5"/>
  <c r="U25" i="5"/>
  <c r="V25" i="5"/>
  <c r="H23" i="5"/>
  <c r="H24" i="5" s="1"/>
  <c r="H21" i="5"/>
  <c r="C41" i="5"/>
  <c r="C25" i="5"/>
  <c r="I57" i="5"/>
  <c r="J57" i="5"/>
  <c r="K57" i="5"/>
  <c r="L57" i="5"/>
  <c r="N57" i="5"/>
  <c r="O57" i="5"/>
  <c r="P57" i="5"/>
  <c r="Q57" i="5"/>
  <c r="S57" i="5"/>
  <c r="T57" i="5"/>
  <c r="U57" i="5"/>
  <c r="V57" i="5"/>
  <c r="I55" i="5"/>
  <c r="J55" i="5"/>
  <c r="K55" i="5"/>
  <c r="L55" i="5"/>
  <c r="N55" i="5"/>
  <c r="O55" i="5"/>
  <c r="P55" i="5"/>
  <c r="Q55" i="5"/>
  <c r="S55" i="5"/>
  <c r="T55" i="5"/>
  <c r="U55" i="5"/>
  <c r="V55" i="5"/>
  <c r="C4" i="5"/>
  <c r="C5" i="5"/>
  <c r="C3" i="5"/>
  <c r="Y5" i="2"/>
  <c r="Y27" i="2" s="1"/>
  <c r="Z5" i="2"/>
  <c r="Z6" i="2"/>
  <c r="Z28" i="2" s="1"/>
  <c r="Z7" i="2"/>
  <c r="Z29" i="2" s="1"/>
  <c r="Z10" i="2"/>
  <c r="Z11" i="2"/>
  <c r="Z12" i="2"/>
  <c r="Z13" i="2"/>
  <c r="Z14" i="2"/>
  <c r="Z18" i="2"/>
  <c r="Z19" i="2"/>
  <c r="Z20" i="2"/>
  <c r="Z21" i="2"/>
  <c r="Y6" i="2"/>
  <c r="Y7" i="2"/>
  <c r="Y10" i="2"/>
  <c r="Y11" i="2"/>
  <c r="Y12" i="2"/>
  <c r="Y13" i="2"/>
  <c r="Y14" i="2"/>
  <c r="Y18" i="2"/>
  <c r="Y19" i="2"/>
  <c r="Y20" i="2"/>
  <c r="Y21" i="2"/>
  <c r="Y28" i="2"/>
  <c r="Y29" i="2"/>
  <c r="C20" i="2"/>
  <c r="C19" i="2"/>
  <c r="C18" i="2"/>
  <c r="C21" i="2" s="1"/>
  <c r="C11" i="2"/>
  <c r="C12" i="2"/>
  <c r="C13" i="2"/>
  <c r="C14" i="2"/>
  <c r="C10" i="2"/>
  <c r="C6" i="2"/>
  <c r="C7" i="2"/>
  <c r="C5" i="2"/>
  <c r="Z29" i="4"/>
  <c r="Y29" i="4"/>
  <c r="X29" i="4"/>
  <c r="V29" i="4"/>
  <c r="U29" i="4"/>
  <c r="T29" i="4"/>
  <c r="S29" i="4"/>
  <c r="Q29" i="4"/>
  <c r="P29" i="4"/>
  <c r="O29" i="4"/>
  <c r="N29" i="4"/>
  <c r="L29" i="4"/>
  <c r="K29" i="4"/>
  <c r="I29" i="4"/>
  <c r="G29" i="4"/>
  <c r="F29" i="4"/>
  <c r="E29" i="4"/>
  <c r="D29" i="4"/>
  <c r="C29" i="4"/>
  <c r="C30" i="4" s="1"/>
  <c r="Z37" i="4"/>
  <c r="Z23" i="4"/>
  <c r="Z8" i="4"/>
  <c r="R6" i="4"/>
  <c r="R7" i="4"/>
  <c r="R9" i="4"/>
  <c r="F17" i="7" s="1"/>
  <c r="G14" i="7" s="1"/>
  <c r="R10" i="4"/>
  <c r="R11" i="4"/>
  <c r="R12" i="4"/>
  <c r="R13" i="4"/>
  <c r="R18" i="4"/>
  <c r="R19" i="4"/>
  <c r="R20" i="4"/>
  <c r="R22" i="4"/>
  <c r="R25" i="4"/>
  <c r="R26" i="4"/>
  <c r="R27" i="4"/>
  <c r="R28" i="4"/>
  <c r="R32" i="4"/>
  <c r="R33" i="4"/>
  <c r="R34" i="4"/>
  <c r="R35" i="4"/>
  <c r="R36" i="4"/>
  <c r="M6" i="4"/>
  <c r="M7" i="4"/>
  <c r="M9" i="4"/>
  <c r="M10" i="4"/>
  <c r="M11" i="4"/>
  <c r="M12" i="4"/>
  <c r="M13" i="4"/>
  <c r="M18" i="4"/>
  <c r="M19" i="4"/>
  <c r="M20" i="4"/>
  <c r="M21" i="4"/>
  <c r="M22" i="4"/>
  <c r="M25" i="4"/>
  <c r="M26" i="4"/>
  <c r="M27" i="4"/>
  <c r="M28" i="4"/>
  <c r="M32" i="4"/>
  <c r="M33" i="4"/>
  <c r="M34" i="4"/>
  <c r="M35" i="4"/>
  <c r="M36" i="4"/>
  <c r="W6" i="4"/>
  <c r="W7" i="4"/>
  <c r="W9" i="4"/>
  <c r="G17" i="7" s="1"/>
  <c r="H14" i="7" s="1"/>
  <c r="W10" i="4"/>
  <c r="W11" i="4"/>
  <c r="W12" i="4"/>
  <c r="AA12" i="4" s="1"/>
  <c r="AE12" i="4" s="1"/>
  <c r="W13" i="4"/>
  <c r="W18" i="4"/>
  <c r="W19" i="4"/>
  <c r="W20" i="4"/>
  <c r="W22" i="4"/>
  <c r="W25" i="4"/>
  <c r="W26" i="4"/>
  <c r="W27" i="4"/>
  <c r="W28" i="4"/>
  <c r="W32" i="4"/>
  <c r="W33" i="4"/>
  <c r="W34" i="4"/>
  <c r="W35" i="4"/>
  <c r="W36" i="4"/>
  <c r="W5" i="4"/>
  <c r="R5" i="4"/>
  <c r="M5" i="4"/>
  <c r="H6" i="4"/>
  <c r="H7" i="4"/>
  <c r="H9" i="4"/>
  <c r="H10" i="4"/>
  <c r="H11" i="4"/>
  <c r="H12" i="4"/>
  <c r="H13" i="4"/>
  <c r="H25" i="4"/>
  <c r="H26" i="4"/>
  <c r="H27" i="4"/>
  <c r="H28" i="4"/>
  <c r="H32" i="4"/>
  <c r="H33" i="4"/>
  <c r="H34" i="4"/>
  <c r="H35" i="4"/>
  <c r="H36" i="4"/>
  <c r="H5" i="4"/>
  <c r="C37" i="4"/>
  <c r="C23" i="4"/>
  <c r="C8" i="4"/>
  <c r="C15" i="4" s="1"/>
  <c r="Z47" i="3"/>
  <c r="Y47" i="3"/>
  <c r="U47" i="3"/>
  <c r="T47" i="3"/>
  <c r="P47" i="3"/>
  <c r="O47" i="3"/>
  <c r="K47" i="3"/>
  <c r="J47" i="3"/>
  <c r="Z32" i="3"/>
  <c r="Z24" i="3"/>
  <c r="Z14" i="3"/>
  <c r="Z7" i="3"/>
  <c r="C32" i="3"/>
  <c r="C24" i="3"/>
  <c r="C14" i="3"/>
  <c r="C15" i="3" s="1"/>
  <c r="J47" i="1" l="1"/>
  <c r="E4" i="9"/>
  <c r="H29" i="4"/>
  <c r="H14" i="4"/>
  <c r="K21" i="7"/>
  <c r="L21" i="7" s="1"/>
  <c r="L22" i="7" s="1"/>
  <c r="AE11" i="4" s="1"/>
  <c r="Z30" i="4"/>
  <c r="Z38" i="4" s="1"/>
  <c r="Z40" i="4" s="1"/>
  <c r="C38" i="4"/>
  <c r="M29" i="4"/>
  <c r="R29" i="4"/>
  <c r="W29" i="4"/>
  <c r="C23" i="2"/>
  <c r="C8" i="2"/>
  <c r="C15" i="2"/>
  <c r="Z27" i="2"/>
  <c r="Z15" i="3"/>
  <c r="G61" i="7"/>
  <c r="H58" i="7" s="1"/>
  <c r="I22" i="7"/>
  <c r="AB11" i="4" s="1"/>
  <c r="E25" i="8" s="1"/>
  <c r="K22" i="7"/>
  <c r="AD11" i="4" s="1"/>
  <c r="C50" i="5"/>
  <c r="C51" i="5"/>
  <c r="C34" i="5" s="1"/>
  <c r="V47" i="5"/>
  <c r="V48" i="5"/>
  <c r="T48" i="5"/>
  <c r="T47" i="5"/>
  <c r="Q48" i="5"/>
  <c r="Q47" i="5"/>
  <c r="N48" i="5"/>
  <c r="N47" i="5"/>
  <c r="L48" i="5"/>
  <c r="L47" i="5"/>
  <c r="M43" i="5"/>
  <c r="I47" i="5"/>
  <c r="I48" i="5"/>
  <c r="N26" i="5"/>
  <c r="C47" i="5"/>
  <c r="C48" i="5"/>
  <c r="J47" i="5"/>
  <c r="J48" i="5"/>
  <c r="U48" i="5"/>
  <c r="U47" i="5"/>
  <c r="S48" i="5"/>
  <c r="S47" i="5"/>
  <c r="P48" i="5"/>
  <c r="P47" i="5"/>
  <c r="O48" i="5"/>
  <c r="O47" i="5"/>
  <c r="H43" i="5"/>
  <c r="K47" i="5"/>
  <c r="K48" i="5"/>
  <c r="M45" i="5"/>
  <c r="R43" i="5"/>
  <c r="R45" i="5"/>
  <c r="W43" i="5"/>
  <c r="W45" i="5"/>
  <c r="D47" i="5"/>
  <c r="D48" i="5"/>
  <c r="M22" i="5"/>
  <c r="M18" i="5"/>
  <c r="W18" i="5"/>
  <c r="W22" i="5"/>
  <c r="R24" i="5"/>
  <c r="X23" i="5"/>
  <c r="Y23" i="5" s="1"/>
  <c r="Z23" i="5" s="1"/>
  <c r="AA23" i="5" s="1"/>
  <c r="AB23" i="5" s="1"/>
  <c r="W24" i="5"/>
  <c r="R22" i="5"/>
  <c r="R18" i="5"/>
  <c r="H18" i="5"/>
  <c r="H22" i="5"/>
  <c r="Z16" i="5"/>
  <c r="W25" i="5"/>
  <c r="C28" i="5"/>
  <c r="V26" i="5"/>
  <c r="U26" i="5"/>
  <c r="T26" i="5"/>
  <c r="S26" i="5"/>
  <c r="H40" i="5"/>
  <c r="H45" i="5"/>
  <c r="M55" i="5"/>
  <c r="W57" i="5"/>
  <c r="H55" i="5"/>
  <c r="H25" i="5"/>
  <c r="N56" i="5"/>
  <c r="C6" i="5"/>
  <c r="C60" i="5" s="1"/>
  <c r="C61" i="5" s="1"/>
  <c r="T58" i="5"/>
  <c r="M57" i="5"/>
  <c r="P58" i="5"/>
  <c r="S58" i="5"/>
  <c r="U56" i="5"/>
  <c r="V58" i="5"/>
  <c r="O56" i="5"/>
  <c r="U58" i="5"/>
  <c r="T56" i="5"/>
  <c r="S56" i="5"/>
  <c r="O58" i="5"/>
  <c r="H38" i="5"/>
  <c r="H41" i="5" s="1"/>
  <c r="H47" i="5" s="1"/>
  <c r="M38" i="5"/>
  <c r="M41" i="5" s="1"/>
  <c r="M48" i="5" s="1"/>
  <c r="Q56" i="5"/>
  <c r="N58" i="5"/>
  <c r="M40" i="5"/>
  <c r="R38" i="5"/>
  <c r="R41" i="5" s="1"/>
  <c r="R47" i="5" s="1"/>
  <c r="R40" i="5"/>
  <c r="W55" i="5"/>
  <c r="C67" i="5"/>
  <c r="Q58" i="5"/>
  <c r="P56" i="5"/>
  <c r="W40" i="5"/>
  <c r="V56" i="5"/>
  <c r="H57" i="5"/>
  <c r="H58" i="5" s="1"/>
  <c r="W38" i="5"/>
  <c r="W41" i="5" s="1"/>
  <c r="W47" i="5" s="1"/>
  <c r="J25" i="5"/>
  <c r="C16" i="3"/>
  <c r="C26" i="3"/>
  <c r="E57" i="5"/>
  <c r="J58" i="5" s="1"/>
  <c r="E55" i="5"/>
  <c r="J56" i="5" s="1"/>
  <c r="F55" i="5"/>
  <c r="G55" i="5"/>
  <c r="L56" i="5" s="1"/>
  <c r="F57" i="5"/>
  <c r="K58" i="5" s="1"/>
  <c r="G57" i="5"/>
  <c r="L58" i="5" s="1"/>
  <c r="D57" i="5"/>
  <c r="I58" i="5" s="1"/>
  <c r="D55" i="5"/>
  <c r="I56" i="5" s="1"/>
  <c r="F40" i="5"/>
  <c r="G40" i="5"/>
  <c r="F38" i="5"/>
  <c r="F41" i="5" s="1"/>
  <c r="G38" i="5"/>
  <c r="G41" i="5" s="1"/>
  <c r="E40" i="5"/>
  <c r="E38" i="5"/>
  <c r="E41" i="5" s="1"/>
  <c r="E25" i="5"/>
  <c r="F25" i="5"/>
  <c r="G25" i="5"/>
  <c r="D25" i="5"/>
  <c r="I26" i="5" s="1"/>
  <c r="F22" i="5"/>
  <c r="G22" i="5"/>
  <c r="E22" i="5"/>
  <c r="E3" i="5"/>
  <c r="F3" i="5"/>
  <c r="I3" i="5"/>
  <c r="I28" i="5" s="1"/>
  <c r="J3" i="5"/>
  <c r="K3" i="5"/>
  <c r="N3" i="5"/>
  <c r="N28" i="5" s="1"/>
  <c r="O3" i="5"/>
  <c r="O28" i="5" s="1"/>
  <c r="P3" i="5"/>
  <c r="P28" i="5" s="1"/>
  <c r="S3" i="5"/>
  <c r="S28" i="5" s="1"/>
  <c r="T3" i="5"/>
  <c r="T28" i="5" s="1"/>
  <c r="U3" i="5"/>
  <c r="U28" i="5" s="1"/>
  <c r="E4" i="5"/>
  <c r="F4" i="5"/>
  <c r="I4" i="5"/>
  <c r="J4" i="5"/>
  <c r="K4" i="5"/>
  <c r="N4" i="5"/>
  <c r="O4" i="5"/>
  <c r="P4" i="5"/>
  <c r="S4" i="5"/>
  <c r="T4" i="5"/>
  <c r="U4" i="5"/>
  <c r="E5" i="5"/>
  <c r="F5" i="5"/>
  <c r="I5" i="5"/>
  <c r="J5" i="5"/>
  <c r="K5" i="5"/>
  <c r="N5" i="5"/>
  <c r="O5" i="5"/>
  <c r="P5" i="5"/>
  <c r="S5" i="5"/>
  <c r="T5" i="5"/>
  <c r="U5" i="5"/>
  <c r="D4" i="5"/>
  <c r="D5" i="5"/>
  <c r="D3" i="5"/>
  <c r="K47" i="1" l="1"/>
  <c r="F4" i="9"/>
  <c r="G25" i="8"/>
  <c r="F25" i="8"/>
  <c r="D25" i="8"/>
  <c r="C33" i="5"/>
  <c r="C52" i="5"/>
  <c r="Z16" i="3"/>
  <c r="Z26" i="3"/>
  <c r="I50" i="5"/>
  <c r="F50" i="5"/>
  <c r="E50" i="5"/>
  <c r="U50" i="5"/>
  <c r="U51" i="5"/>
  <c r="U34" i="5" s="1"/>
  <c r="S50" i="5"/>
  <c r="S51" i="5"/>
  <c r="S34" i="5" s="1"/>
  <c r="N50" i="5"/>
  <c r="N51" i="5"/>
  <c r="N34" i="5" s="1"/>
  <c r="K50" i="5"/>
  <c r="D50" i="5"/>
  <c r="T50" i="5"/>
  <c r="T51" i="5"/>
  <c r="T34" i="5" s="1"/>
  <c r="P50" i="5"/>
  <c r="P51" i="5"/>
  <c r="P34" i="5" s="1"/>
  <c r="O50" i="5"/>
  <c r="O51" i="5"/>
  <c r="O34" i="5" s="1"/>
  <c r="J50" i="5"/>
  <c r="X43" i="5"/>
  <c r="M47" i="5"/>
  <c r="W48" i="5"/>
  <c r="J28" i="5"/>
  <c r="O29" i="5" s="1"/>
  <c r="F28" i="5"/>
  <c r="T29" i="5"/>
  <c r="R48" i="5"/>
  <c r="E28" i="5"/>
  <c r="J29" i="5" s="1"/>
  <c r="J26" i="5"/>
  <c r="H48" i="5"/>
  <c r="E47" i="5"/>
  <c r="E48" i="5"/>
  <c r="G47" i="5"/>
  <c r="G48" i="5"/>
  <c r="F48" i="5"/>
  <c r="F47" i="5"/>
  <c r="U29" i="5"/>
  <c r="S29" i="5"/>
  <c r="Y18" i="5"/>
  <c r="X21" i="5"/>
  <c r="D28" i="5"/>
  <c r="AA16" i="5"/>
  <c r="N29" i="5"/>
  <c r="I29" i="5"/>
  <c r="H26" i="5"/>
  <c r="O26" i="5"/>
  <c r="M56" i="5"/>
  <c r="F56" i="5"/>
  <c r="U12" i="5"/>
  <c r="P11" i="5"/>
  <c r="C63" i="5"/>
  <c r="H56" i="5"/>
  <c r="C62" i="5"/>
  <c r="K12" i="5"/>
  <c r="T11" i="5"/>
  <c r="J12" i="5"/>
  <c r="S11" i="5"/>
  <c r="D67" i="5"/>
  <c r="N12" i="5"/>
  <c r="U11" i="5"/>
  <c r="I12" i="5"/>
  <c r="O12" i="5"/>
  <c r="J11" i="5"/>
  <c r="S10" i="5"/>
  <c r="S6" i="5"/>
  <c r="S60" i="5" s="1"/>
  <c r="E6" i="5"/>
  <c r="E60" i="5" s="1"/>
  <c r="I11" i="5"/>
  <c r="P6" i="5"/>
  <c r="P60" i="5" s="1"/>
  <c r="P10" i="5"/>
  <c r="N6" i="5"/>
  <c r="N60" i="5" s="1"/>
  <c r="N10" i="5"/>
  <c r="O6" i="5"/>
  <c r="O60" i="5" s="1"/>
  <c r="O10" i="5"/>
  <c r="T12" i="5"/>
  <c r="F67" i="5"/>
  <c r="O11" i="5"/>
  <c r="J6" i="5"/>
  <c r="J60" i="5" s="1"/>
  <c r="J62" i="5" s="1"/>
  <c r="J10" i="5"/>
  <c r="K56" i="5"/>
  <c r="K10" i="5"/>
  <c r="K6" i="5"/>
  <c r="K60" i="5" s="1"/>
  <c r="K63" i="5" s="1"/>
  <c r="S12" i="5"/>
  <c r="N11" i="5"/>
  <c r="U6" i="5"/>
  <c r="U60" i="5" s="1"/>
  <c r="U63" i="5" s="1"/>
  <c r="U10" i="5"/>
  <c r="I6" i="5"/>
  <c r="I60" i="5" s="1"/>
  <c r="I10" i="5"/>
  <c r="D6" i="5"/>
  <c r="D60" i="5" s="1"/>
  <c r="P67" i="5"/>
  <c r="P12" i="5"/>
  <c r="K11" i="5"/>
  <c r="T10" i="5"/>
  <c r="T6" i="5"/>
  <c r="T60" i="5" s="1"/>
  <c r="T62" i="5" s="1"/>
  <c r="F6" i="5"/>
  <c r="F60" i="5" s="1"/>
  <c r="M58" i="5"/>
  <c r="K25" i="5"/>
  <c r="K28" i="5" s="1"/>
  <c r="F58" i="5"/>
  <c r="F31" i="5"/>
  <c r="E56" i="5"/>
  <c r="N67" i="5"/>
  <c r="E67" i="5"/>
  <c r="G58" i="5"/>
  <c r="G56" i="5"/>
  <c r="E58" i="5"/>
  <c r="S67" i="5"/>
  <c r="G31" i="5"/>
  <c r="U67" i="5"/>
  <c r="I67" i="5"/>
  <c r="C33" i="3"/>
  <c r="C37" i="3" s="1"/>
  <c r="C38" i="3" s="1"/>
  <c r="C27" i="3"/>
  <c r="F10" i="5"/>
  <c r="F11" i="5"/>
  <c r="T67" i="5"/>
  <c r="J67" i="5"/>
  <c r="O67" i="5"/>
  <c r="O68" i="5" s="1"/>
  <c r="V31" i="5"/>
  <c r="S31" i="5"/>
  <c r="I31" i="5"/>
  <c r="Q31" i="5"/>
  <c r="O31" i="5"/>
  <c r="P31" i="5"/>
  <c r="U31" i="5"/>
  <c r="J31" i="5"/>
  <c r="T31" i="5"/>
  <c r="E31" i="5"/>
  <c r="F12" i="5"/>
  <c r="E11" i="5"/>
  <c r="E12" i="5"/>
  <c r="E10" i="5"/>
  <c r="L47" i="1" l="1"/>
  <c r="H4" i="9" s="1"/>
  <c r="G4" i="9"/>
  <c r="J33" i="5"/>
  <c r="O33" i="5"/>
  <c r="O52" i="5"/>
  <c r="P33" i="5"/>
  <c r="P52" i="5"/>
  <c r="T33" i="5"/>
  <c r="T52" i="5"/>
  <c r="D33" i="5"/>
  <c r="D52" i="5"/>
  <c r="K33" i="5"/>
  <c r="K52" i="5"/>
  <c r="E33" i="5"/>
  <c r="E52" i="5"/>
  <c r="N33" i="5"/>
  <c r="N52" i="5"/>
  <c r="S33" i="5"/>
  <c r="S52" i="5"/>
  <c r="U33" i="5"/>
  <c r="U52" i="5"/>
  <c r="F33" i="5"/>
  <c r="F52" i="5"/>
  <c r="I33" i="5"/>
  <c r="I52" i="5"/>
  <c r="Z33" i="3"/>
  <c r="Z37" i="3" s="1"/>
  <c r="Z38" i="3" s="1"/>
  <c r="Z27" i="3"/>
  <c r="K51" i="5"/>
  <c r="K34" i="5" s="1"/>
  <c r="J51" i="5"/>
  <c r="J34" i="5" s="1"/>
  <c r="D51" i="5"/>
  <c r="D34" i="5" s="1"/>
  <c r="E51" i="5"/>
  <c r="E34" i="5" s="1"/>
  <c r="F51" i="5"/>
  <c r="I51" i="5"/>
  <c r="F34" i="5"/>
  <c r="I34" i="5"/>
  <c r="N68" i="5"/>
  <c r="K29" i="5"/>
  <c r="U68" i="5"/>
  <c r="I68" i="5"/>
  <c r="J68" i="5"/>
  <c r="T68" i="5"/>
  <c r="X22" i="5"/>
  <c r="X25" i="5"/>
  <c r="Z18" i="5"/>
  <c r="Y21" i="5"/>
  <c r="S68" i="5"/>
  <c r="AB16" i="5"/>
  <c r="P29" i="5"/>
  <c r="K67" i="5"/>
  <c r="K68" i="5" s="1"/>
  <c r="K26" i="5"/>
  <c r="P26" i="5"/>
  <c r="K31" i="5"/>
  <c r="S61" i="5"/>
  <c r="I61" i="5"/>
  <c r="L25" i="5"/>
  <c r="M25" i="5"/>
  <c r="D63" i="5"/>
  <c r="D62" i="5"/>
  <c r="J61" i="5"/>
  <c r="N62" i="5"/>
  <c r="N63" i="5"/>
  <c r="N61" i="5"/>
  <c r="P62" i="5"/>
  <c r="P61" i="5"/>
  <c r="P63" i="5"/>
  <c r="O62" i="5"/>
  <c r="O63" i="5"/>
  <c r="O61" i="5"/>
  <c r="J63" i="5"/>
  <c r="U61" i="5"/>
  <c r="K61" i="5"/>
  <c r="D61" i="5"/>
  <c r="I63" i="5"/>
  <c r="I62" i="5"/>
  <c r="T63" i="5"/>
  <c r="U62" i="5"/>
  <c r="F62" i="5"/>
  <c r="F63" i="5"/>
  <c r="F61" i="5"/>
  <c r="S63" i="5"/>
  <c r="S62" i="5"/>
  <c r="E62" i="5"/>
  <c r="E63" i="5"/>
  <c r="E61" i="5"/>
  <c r="K62" i="5"/>
  <c r="T61" i="5"/>
  <c r="J52" i="5" l="1"/>
  <c r="P68" i="5"/>
  <c r="Y25" i="5"/>
  <c r="Y22" i="5"/>
  <c r="AA18" i="5"/>
  <c r="Z21" i="5"/>
  <c r="X26" i="5"/>
  <c r="M26" i="5"/>
  <c r="L26" i="5"/>
  <c r="Q26" i="5"/>
  <c r="N31" i="5"/>
  <c r="L31" i="5"/>
  <c r="Z25" i="5" l="1"/>
  <c r="Z22" i="5"/>
  <c r="AB18" i="5"/>
  <c r="AB21" i="5" s="1"/>
  <c r="AA21" i="5"/>
  <c r="Y26" i="5"/>
  <c r="E8" i="4"/>
  <c r="E15" i="4" s="1"/>
  <c r="F8" i="4"/>
  <c r="F15" i="4" s="1"/>
  <c r="G8" i="4"/>
  <c r="I8" i="4"/>
  <c r="I15" i="4" s="1"/>
  <c r="K8" i="4"/>
  <c r="K15" i="4" s="1"/>
  <c r="L8" i="4"/>
  <c r="N8" i="4"/>
  <c r="N15" i="4" s="1"/>
  <c r="O8" i="4"/>
  <c r="O15" i="4" s="1"/>
  <c r="P8" i="4"/>
  <c r="P15" i="4" s="1"/>
  <c r="Q8" i="4"/>
  <c r="S8" i="4"/>
  <c r="S15" i="4" s="1"/>
  <c r="T8" i="4"/>
  <c r="T15" i="4" s="1"/>
  <c r="U8" i="4"/>
  <c r="U15" i="4" s="1"/>
  <c r="V8" i="4"/>
  <c r="X8" i="4"/>
  <c r="Y8" i="4"/>
  <c r="D8" i="4"/>
  <c r="D15" i="4" s="1"/>
  <c r="E37" i="4"/>
  <c r="F37" i="4"/>
  <c r="G37" i="4"/>
  <c r="H37" i="4" s="1"/>
  <c r="I37" i="4"/>
  <c r="K37" i="4"/>
  <c r="L37" i="4"/>
  <c r="M37" i="4" s="1"/>
  <c r="N37" i="4"/>
  <c r="O37" i="4"/>
  <c r="P37" i="4"/>
  <c r="Q37" i="4"/>
  <c r="R37" i="4" s="1"/>
  <c r="S37" i="4"/>
  <c r="T37" i="4"/>
  <c r="U37" i="4"/>
  <c r="V37" i="4"/>
  <c r="W37" i="4" s="1"/>
  <c r="X37" i="4"/>
  <c r="Y37" i="4"/>
  <c r="D37" i="4"/>
  <c r="E23" i="4"/>
  <c r="E30" i="4" s="1"/>
  <c r="F23" i="4"/>
  <c r="F30" i="4" s="1"/>
  <c r="I23" i="4"/>
  <c r="I30" i="4" s="1"/>
  <c r="K23" i="4"/>
  <c r="K30" i="4" s="1"/>
  <c r="L23" i="4"/>
  <c r="N23" i="4"/>
  <c r="N30" i="4" s="1"/>
  <c r="O23" i="4"/>
  <c r="O30" i="4" s="1"/>
  <c r="O38" i="4" s="1"/>
  <c r="O40" i="4" s="1"/>
  <c r="P23" i="4"/>
  <c r="P30" i="4" s="1"/>
  <c r="Q23" i="4"/>
  <c r="S23" i="4"/>
  <c r="S30" i="4" s="1"/>
  <c r="T23" i="4"/>
  <c r="T30" i="4" s="1"/>
  <c r="U23" i="4"/>
  <c r="U30" i="4" s="1"/>
  <c r="V23" i="4"/>
  <c r="X23" i="4"/>
  <c r="X30" i="4" s="1"/>
  <c r="Y23" i="4"/>
  <c r="Y30" i="4" s="1"/>
  <c r="D23" i="4"/>
  <c r="J36" i="4"/>
  <c r="J34" i="4"/>
  <c r="J33" i="4"/>
  <c r="J28" i="4"/>
  <c r="J26" i="4"/>
  <c r="J25" i="4"/>
  <c r="J29" i="4" s="1"/>
  <c r="J22" i="4"/>
  <c r="J21" i="4"/>
  <c r="J38" i="2" s="1"/>
  <c r="J20" i="4"/>
  <c r="J19" i="4"/>
  <c r="J18" i="4"/>
  <c r="J13" i="4"/>
  <c r="J12" i="4"/>
  <c r="J11" i="4"/>
  <c r="J10" i="4"/>
  <c r="J9" i="4"/>
  <c r="J7" i="4"/>
  <c r="J6" i="4"/>
  <c r="J5" i="4"/>
  <c r="E38" i="4" l="1"/>
  <c r="E40" i="4" s="1"/>
  <c r="Q30" i="4"/>
  <c r="R30" i="4" s="1"/>
  <c r="R23" i="4"/>
  <c r="V15" i="4"/>
  <c r="W15" i="4" s="1"/>
  <c r="X15" i="4" s="1"/>
  <c r="Y15" i="4" s="1"/>
  <c r="Z15" i="4" s="1"/>
  <c r="W8" i="4"/>
  <c r="L30" i="4"/>
  <c r="M30" i="4" s="1"/>
  <c r="M23" i="4"/>
  <c r="V30" i="4"/>
  <c r="W30" i="4" s="1"/>
  <c r="W23" i="4"/>
  <c r="Q15" i="4"/>
  <c r="R15" i="4" s="1"/>
  <c r="R8" i="4"/>
  <c r="G30" i="4"/>
  <c r="H30" i="4" s="1"/>
  <c r="H23" i="4"/>
  <c r="L15" i="4"/>
  <c r="M15" i="4" s="1"/>
  <c r="M8" i="4"/>
  <c r="G15" i="4"/>
  <c r="H15" i="4" s="1"/>
  <c r="H8" i="4"/>
  <c r="Y38" i="4"/>
  <c r="Y40" i="4" s="1"/>
  <c r="AA22" i="5"/>
  <c r="AA25" i="5"/>
  <c r="AB25" i="5"/>
  <c r="AB22" i="5"/>
  <c r="Z26" i="5"/>
  <c r="P38" i="4"/>
  <c r="P40" i="4" s="1"/>
  <c r="X38" i="4"/>
  <c r="X40" i="4" s="1"/>
  <c r="N38" i="4"/>
  <c r="N40" i="4" s="1"/>
  <c r="F38" i="4"/>
  <c r="F40" i="4" s="1"/>
  <c r="Q38" i="4"/>
  <c r="Q40" i="4" s="1"/>
  <c r="T38" i="4"/>
  <c r="T40" i="4" s="1"/>
  <c r="S38" i="4"/>
  <c r="S40" i="4" s="1"/>
  <c r="J23" i="4"/>
  <c r="J30" i="4" s="1"/>
  <c r="K38" i="4"/>
  <c r="K40" i="4" s="1"/>
  <c r="J8" i="4"/>
  <c r="J15" i="4" s="1"/>
  <c r="I38" i="4"/>
  <c r="I40" i="4" s="1"/>
  <c r="J37" i="4"/>
  <c r="U38" i="4"/>
  <c r="U40" i="4" s="1"/>
  <c r="D30" i="4"/>
  <c r="D38" i="4" s="1"/>
  <c r="E18" i="2"/>
  <c r="F18" i="2"/>
  <c r="I18" i="2"/>
  <c r="J18" i="2"/>
  <c r="K18" i="2"/>
  <c r="N18" i="2"/>
  <c r="O18" i="2"/>
  <c r="P18" i="2"/>
  <c r="S18" i="2"/>
  <c r="T18" i="2"/>
  <c r="U18" i="2"/>
  <c r="X18" i="2"/>
  <c r="E19" i="2"/>
  <c r="F19" i="2"/>
  <c r="I19" i="2"/>
  <c r="J19" i="2"/>
  <c r="K19" i="2"/>
  <c r="N19" i="2"/>
  <c r="O19" i="2"/>
  <c r="P19" i="2"/>
  <c r="S19" i="2"/>
  <c r="T19" i="2"/>
  <c r="U19" i="2"/>
  <c r="X19" i="2"/>
  <c r="E20" i="2"/>
  <c r="F20" i="2"/>
  <c r="I20" i="2"/>
  <c r="J20" i="2"/>
  <c r="K20" i="2"/>
  <c r="N20" i="2"/>
  <c r="O20" i="2"/>
  <c r="P20" i="2"/>
  <c r="S20" i="2"/>
  <c r="T20" i="2"/>
  <c r="U20" i="2"/>
  <c r="X20" i="2"/>
  <c r="E10" i="2"/>
  <c r="F10" i="2"/>
  <c r="I10" i="2"/>
  <c r="J10" i="2"/>
  <c r="K10" i="2"/>
  <c r="N10" i="2"/>
  <c r="O10" i="2"/>
  <c r="P10" i="2"/>
  <c r="S10" i="2"/>
  <c r="T10" i="2"/>
  <c r="U10" i="2"/>
  <c r="X10" i="2"/>
  <c r="E11" i="2"/>
  <c r="F11" i="2"/>
  <c r="I11" i="2"/>
  <c r="J11" i="2"/>
  <c r="K11" i="2"/>
  <c r="N11" i="2"/>
  <c r="O11" i="2"/>
  <c r="P11" i="2"/>
  <c r="S11" i="2"/>
  <c r="T11" i="2"/>
  <c r="U11" i="2"/>
  <c r="X11" i="2"/>
  <c r="E12" i="2"/>
  <c r="F12" i="2"/>
  <c r="I12" i="2"/>
  <c r="J12" i="2"/>
  <c r="K12" i="2"/>
  <c r="N12" i="2"/>
  <c r="O12" i="2"/>
  <c r="P12" i="2"/>
  <c r="S12" i="2"/>
  <c r="T12" i="2"/>
  <c r="U12" i="2"/>
  <c r="X12" i="2"/>
  <c r="E13" i="2"/>
  <c r="F13" i="2"/>
  <c r="I13" i="2"/>
  <c r="J13" i="2"/>
  <c r="K13" i="2"/>
  <c r="N13" i="2"/>
  <c r="O13" i="2"/>
  <c r="P13" i="2"/>
  <c r="S13" i="2"/>
  <c r="T13" i="2"/>
  <c r="U13" i="2"/>
  <c r="X13" i="2"/>
  <c r="E14" i="2"/>
  <c r="F14" i="2"/>
  <c r="I14" i="2"/>
  <c r="J14" i="2"/>
  <c r="K14" i="2"/>
  <c r="N14" i="2"/>
  <c r="O14" i="2"/>
  <c r="P14" i="2"/>
  <c r="S14" i="2"/>
  <c r="T14" i="2"/>
  <c r="U14" i="2"/>
  <c r="X14" i="2"/>
  <c r="E5" i="2"/>
  <c r="F5" i="2"/>
  <c r="I5" i="2"/>
  <c r="J5" i="2"/>
  <c r="K5" i="2"/>
  <c r="N5" i="2"/>
  <c r="O5" i="2"/>
  <c r="P5" i="2"/>
  <c r="S5" i="2"/>
  <c r="T5" i="2"/>
  <c r="U5" i="2"/>
  <c r="X5" i="2"/>
  <c r="X27" i="2" s="1"/>
  <c r="E6" i="2"/>
  <c r="E28" i="2" s="1"/>
  <c r="F6" i="2"/>
  <c r="F28" i="2" s="1"/>
  <c r="I6" i="2"/>
  <c r="J6" i="2"/>
  <c r="K6" i="2"/>
  <c r="N6" i="2"/>
  <c r="O6" i="2"/>
  <c r="P6" i="2"/>
  <c r="S6" i="2"/>
  <c r="T6" i="2"/>
  <c r="U6" i="2"/>
  <c r="X6" i="2"/>
  <c r="X28" i="2" s="1"/>
  <c r="E7" i="2"/>
  <c r="E29" i="2" s="1"/>
  <c r="F7" i="2"/>
  <c r="F29" i="2" s="1"/>
  <c r="I7" i="2"/>
  <c r="J7" i="2"/>
  <c r="K7" i="2"/>
  <c r="N7" i="2"/>
  <c r="O7" i="2"/>
  <c r="P7" i="2"/>
  <c r="S7" i="2"/>
  <c r="T7" i="2"/>
  <c r="U7" i="2"/>
  <c r="X7" i="2"/>
  <c r="X29" i="2" s="1"/>
  <c r="D20" i="2"/>
  <c r="D19" i="2"/>
  <c r="D18" i="2"/>
  <c r="D11" i="2"/>
  <c r="D12" i="2"/>
  <c r="D13" i="2"/>
  <c r="D14" i="2"/>
  <c r="D10" i="2"/>
  <c r="D6" i="2"/>
  <c r="D28" i="2" s="1"/>
  <c r="D7" i="2"/>
  <c r="D29" i="2" s="1"/>
  <c r="D5" i="2"/>
  <c r="F30" i="2" l="1"/>
  <c r="D30" i="2"/>
  <c r="E30" i="2"/>
  <c r="G38" i="4"/>
  <c r="L38" i="4"/>
  <c r="L40" i="4" s="1"/>
  <c r="V38" i="4"/>
  <c r="V40" i="4" s="1"/>
  <c r="J38" i="4"/>
  <c r="J40" i="4" s="1"/>
  <c r="AB26" i="5"/>
  <c r="AA26" i="5"/>
  <c r="R38" i="4"/>
  <c r="R40" i="4" s="1"/>
  <c r="T8" i="2"/>
  <c r="J8" i="2"/>
  <c r="E21" i="2"/>
  <c r="T21" i="2"/>
  <c r="S8" i="2"/>
  <c r="O15" i="2"/>
  <c r="E15" i="2"/>
  <c r="S21" i="2"/>
  <c r="I21" i="2"/>
  <c r="U15" i="2"/>
  <c r="P21" i="2"/>
  <c r="O21" i="2"/>
  <c r="J21" i="2"/>
  <c r="I8" i="2"/>
  <c r="P8" i="2"/>
  <c r="F8" i="2"/>
  <c r="K15" i="2"/>
  <c r="F21" i="2"/>
  <c r="E8" i="2"/>
  <c r="N8" i="2"/>
  <c r="F15" i="2"/>
  <c r="J15" i="2"/>
  <c r="S15" i="2"/>
  <c r="I15" i="2"/>
  <c r="O8" i="2"/>
  <c r="P15" i="2"/>
  <c r="T15" i="2"/>
  <c r="N21" i="2"/>
  <c r="D8" i="2"/>
  <c r="U8" i="2"/>
  <c r="K8" i="2"/>
  <c r="U21" i="2"/>
  <c r="K21" i="2"/>
  <c r="X21" i="2"/>
  <c r="D21" i="2"/>
  <c r="D15" i="2"/>
  <c r="N15" i="2"/>
  <c r="M38" i="4" l="1"/>
  <c r="M40" i="4" s="1"/>
  <c r="W38" i="4"/>
  <c r="W40" i="4" s="1"/>
  <c r="H38" i="4"/>
  <c r="H40" i="4" s="1"/>
  <c r="G40" i="4"/>
  <c r="T23" i="2"/>
  <c r="E23" i="2"/>
  <c r="F23" i="2"/>
  <c r="N23" i="2"/>
  <c r="O23" i="2"/>
  <c r="K23" i="2"/>
  <c r="I23" i="2"/>
  <c r="P23" i="2"/>
  <c r="D23" i="2"/>
  <c r="U23" i="2"/>
  <c r="J23" i="2"/>
  <c r="S23" i="2"/>
  <c r="V46" i="3" l="1"/>
  <c r="V45" i="3"/>
  <c r="W45" i="3" s="1"/>
  <c r="V42" i="3"/>
  <c r="V41" i="3"/>
  <c r="Q46" i="3"/>
  <c r="Q45" i="3"/>
  <c r="R45" i="3" s="1"/>
  <c r="Q42" i="3"/>
  <c r="Q41" i="3"/>
  <c r="L46" i="3"/>
  <c r="L45" i="3"/>
  <c r="M45" i="3" s="1"/>
  <c r="G46" i="3"/>
  <c r="G45" i="3"/>
  <c r="H45" i="3" s="1"/>
  <c r="L42" i="3"/>
  <c r="L41" i="3"/>
  <c r="G42" i="3"/>
  <c r="H42" i="3" s="1"/>
  <c r="G41" i="3"/>
  <c r="H41" i="3" s="1"/>
  <c r="V34" i="3"/>
  <c r="V31" i="3"/>
  <c r="V30" i="3"/>
  <c r="V20" i="3"/>
  <c r="V21" i="3"/>
  <c r="V22" i="3"/>
  <c r="V23" i="3"/>
  <c r="V19" i="3"/>
  <c r="V12" i="3"/>
  <c r="V13" i="3"/>
  <c r="V11" i="3"/>
  <c r="W11" i="3" s="1"/>
  <c r="W5" i="2" s="1"/>
  <c r="W27" i="2" s="1"/>
  <c r="V5" i="3"/>
  <c r="V6" i="3"/>
  <c r="Q34" i="3"/>
  <c r="Q31" i="3"/>
  <c r="Q30" i="3"/>
  <c r="Q20" i="3"/>
  <c r="Q21" i="3"/>
  <c r="Q22" i="3"/>
  <c r="Q23" i="3"/>
  <c r="Q19" i="3"/>
  <c r="R19" i="3" s="1"/>
  <c r="R10" i="2" s="1"/>
  <c r="Q12" i="3"/>
  <c r="Q13" i="3"/>
  <c r="Q11" i="3"/>
  <c r="Q5" i="3"/>
  <c r="Q6" i="3"/>
  <c r="Q4" i="3"/>
  <c r="V4" i="3"/>
  <c r="L34" i="3"/>
  <c r="L31" i="3"/>
  <c r="L30" i="3"/>
  <c r="L20" i="3"/>
  <c r="L21" i="3"/>
  <c r="L22" i="3"/>
  <c r="L23" i="3"/>
  <c r="L19" i="3"/>
  <c r="L12" i="3"/>
  <c r="M12" i="3" s="1"/>
  <c r="M6" i="2" s="1"/>
  <c r="M28" i="2" s="1"/>
  <c r="L13" i="3"/>
  <c r="L11" i="3"/>
  <c r="L5" i="3"/>
  <c r="L6" i="3"/>
  <c r="L4" i="3"/>
  <c r="G34" i="3"/>
  <c r="G31" i="3"/>
  <c r="G30" i="3"/>
  <c r="H30" i="3" s="1"/>
  <c r="H18" i="2" s="1"/>
  <c r="H38" i="2" s="1"/>
  <c r="G20" i="3"/>
  <c r="G21" i="3"/>
  <c r="G22" i="3"/>
  <c r="G23" i="3"/>
  <c r="G19" i="3"/>
  <c r="G12" i="3"/>
  <c r="G13" i="3"/>
  <c r="G11" i="3"/>
  <c r="H11" i="3" s="1"/>
  <c r="H5" i="2" s="1"/>
  <c r="H27" i="2" s="1"/>
  <c r="G5" i="3"/>
  <c r="G6" i="3"/>
  <c r="G4" i="3"/>
  <c r="E32" i="3"/>
  <c r="F32" i="3"/>
  <c r="I32" i="3"/>
  <c r="J32" i="3"/>
  <c r="K32" i="3"/>
  <c r="N32" i="3"/>
  <c r="D32" i="3"/>
  <c r="O32" i="3"/>
  <c r="P32" i="3"/>
  <c r="S32" i="3"/>
  <c r="T32" i="3"/>
  <c r="U32" i="3"/>
  <c r="X32" i="3"/>
  <c r="E24" i="3"/>
  <c r="F24" i="3"/>
  <c r="I24" i="3"/>
  <c r="J24" i="3"/>
  <c r="K24" i="3"/>
  <c r="N24" i="3"/>
  <c r="N25" i="3" s="1"/>
  <c r="O24" i="3"/>
  <c r="O25" i="3" s="1"/>
  <c r="P24" i="3"/>
  <c r="P25" i="3" s="1"/>
  <c r="S24" i="3"/>
  <c r="S25" i="3" s="1"/>
  <c r="T24" i="3"/>
  <c r="T25" i="3" s="1"/>
  <c r="U24" i="3"/>
  <c r="X24" i="3"/>
  <c r="X25" i="3" s="1"/>
  <c r="D24" i="3"/>
  <c r="E14" i="3"/>
  <c r="F14" i="3"/>
  <c r="I14" i="3"/>
  <c r="J14" i="3"/>
  <c r="K14" i="3"/>
  <c r="N14" i="3"/>
  <c r="O14" i="3"/>
  <c r="P14" i="3"/>
  <c r="S14" i="3"/>
  <c r="T14" i="3"/>
  <c r="U14" i="3"/>
  <c r="X14" i="3"/>
  <c r="D14" i="3"/>
  <c r="E7" i="3"/>
  <c r="F7" i="3"/>
  <c r="I7" i="3"/>
  <c r="J7" i="3"/>
  <c r="K7" i="3"/>
  <c r="K8" i="3" s="1"/>
  <c r="N7" i="3"/>
  <c r="N8" i="3" s="1"/>
  <c r="O7" i="3"/>
  <c r="O8" i="3" s="1"/>
  <c r="P7" i="3"/>
  <c r="P8" i="3" s="1"/>
  <c r="S7" i="3"/>
  <c r="T7" i="3"/>
  <c r="U7" i="3"/>
  <c r="X7" i="3"/>
  <c r="D7" i="3"/>
  <c r="Y32" i="3"/>
  <c r="Y24" i="3"/>
  <c r="Z25" i="3" s="1"/>
  <c r="Y14" i="3"/>
  <c r="Y7" i="3"/>
  <c r="Z8" i="3" s="1"/>
  <c r="Z32" i="2" l="1"/>
  <c r="Y35" i="2"/>
  <c r="Y32" i="2"/>
  <c r="Y34" i="2"/>
  <c r="Y33" i="2"/>
  <c r="Z35" i="2"/>
  <c r="Z34" i="2"/>
  <c r="Z33" i="2"/>
  <c r="J8" i="3"/>
  <c r="H46" i="3"/>
  <c r="H47" i="3" s="1"/>
  <c r="I47" i="3"/>
  <c r="M46" i="3"/>
  <c r="M47" i="3" s="1"/>
  <c r="L47" i="3"/>
  <c r="N47" i="3"/>
  <c r="R46" i="3"/>
  <c r="S47" i="3"/>
  <c r="Q47" i="3"/>
  <c r="W46" i="3"/>
  <c r="W47" i="3" s="1"/>
  <c r="X47" i="3"/>
  <c r="V47" i="3"/>
  <c r="S8" i="3"/>
  <c r="U25" i="3"/>
  <c r="I25" i="3"/>
  <c r="I8" i="3"/>
  <c r="K25" i="3"/>
  <c r="U8" i="3"/>
  <c r="T8" i="3"/>
  <c r="J25" i="3"/>
  <c r="L5" i="2"/>
  <c r="M11" i="3"/>
  <c r="M5" i="2" s="1"/>
  <c r="M27" i="2" s="1"/>
  <c r="Q6" i="2"/>
  <c r="Q28" i="2" s="1"/>
  <c r="R12" i="3"/>
  <c r="R6" i="2" s="1"/>
  <c r="R28" i="2" s="1"/>
  <c r="G7" i="2"/>
  <c r="G29" i="2" s="1"/>
  <c r="H13" i="3"/>
  <c r="G3" i="5"/>
  <c r="G28" i="5" s="1"/>
  <c r="H4" i="3"/>
  <c r="H3" i="5" s="1"/>
  <c r="G13" i="2"/>
  <c r="H22" i="3"/>
  <c r="H13" i="2" s="1"/>
  <c r="L4" i="5"/>
  <c r="M5" i="3"/>
  <c r="M4" i="5" s="1"/>
  <c r="L11" i="2"/>
  <c r="M20" i="3"/>
  <c r="M11" i="2" s="1"/>
  <c r="Q5" i="2"/>
  <c r="Q27" i="2" s="1"/>
  <c r="R11" i="3"/>
  <c r="R5" i="2" s="1"/>
  <c r="R27" i="2" s="1"/>
  <c r="Q18" i="2"/>
  <c r="Q38" i="2" s="1"/>
  <c r="R30" i="3"/>
  <c r="R18" i="2" s="1"/>
  <c r="R38" i="2" s="1"/>
  <c r="V10" i="2"/>
  <c r="V32" i="2" s="1"/>
  <c r="W19" i="3"/>
  <c r="W10" i="2" s="1"/>
  <c r="G5" i="5"/>
  <c r="H6" i="3"/>
  <c r="H5" i="5" s="1"/>
  <c r="Q7" i="2"/>
  <c r="Q29" i="2" s="1"/>
  <c r="R13" i="3"/>
  <c r="R7" i="2" s="1"/>
  <c r="R29" i="2" s="1"/>
  <c r="G4" i="5"/>
  <c r="H5" i="3"/>
  <c r="H4" i="5" s="1"/>
  <c r="L19" i="2"/>
  <c r="M31" i="3"/>
  <c r="M19" i="2" s="1"/>
  <c r="V5" i="5"/>
  <c r="W6" i="3"/>
  <c r="W5" i="5" s="1"/>
  <c r="V12" i="2"/>
  <c r="V34" i="2" s="1"/>
  <c r="W21" i="3"/>
  <c r="W12" i="2" s="1"/>
  <c r="G20" i="2"/>
  <c r="Q3" i="5"/>
  <c r="Q28" i="5" s="1"/>
  <c r="R4" i="3"/>
  <c r="R3" i="5" s="1"/>
  <c r="G10" i="2"/>
  <c r="H19" i="3"/>
  <c r="H10" i="2" s="1"/>
  <c r="L3" i="5"/>
  <c r="L28" i="5" s="1"/>
  <c r="M4" i="3"/>
  <c r="M3" i="5" s="1"/>
  <c r="L13" i="2"/>
  <c r="L35" i="2" s="1"/>
  <c r="M22" i="3"/>
  <c r="M13" i="2" s="1"/>
  <c r="Q5" i="5"/>
  <c r="R6" i="3"/>
  <c r="R5" i="5" s="1"/>
  <c r="Q12" i="2"/>
  <c r="Q34" i="2" s="1"/>
  <c r="R21" i="3"/>
  <c r="R12" i="2" s="1"/>
  <c r="R34" i="2" s="1"/>
  <c r="V7" i="2"/>
  <c r="V29" i="2" s="1"/>
  <c r="W13" i="3"/>
  <c r="W7" i="2" s="1"/>
  <c r="W29" i="2" s="1"/>
  <c r="V19" i="2"/>
  <c r="W31" i="3"/>
  <c r="W19" i="2" s="1"/>
  <c r="G12" i="2"/>
  <c r="H21" i="3"/>
  <c r="H12" i="2" s="1"/>
  <c r="L18" i="2"/>
  <c r="L38" i="2" s="1"/>
  <c r="M30" i="3"/>
  <c r="M18" i="2" s="1"/>
  <c r="M38" i="2" s="1"/>
  <c r="Q19" i="2"/>
  <c r="R31" i="3"/>
  <c r="R19" i="2" s="1"/>
  <c r="V14" i="2"/>
  <c r="W23" i="3"/>
  <c r="W14" i="2" s="1"/>
  <c r="G11" i="2"/>
  <c r="H20" i="3"/>
  <c r="H11" i="2" s="1"/>
  <c r="L7" i="2"/>
  <c r="M13" i="3"/>
  <c r="M7" i="2" s="1"/>
  <c r="M29" i="2" s="1"/>
  <c r="Q20" i="2"/>
  <c r="V13" i="2"/>
  <c r="V35" i="2" s="1"/>
  <c r="W22" i="3"/>
  <c r="W13" i="2" s="1"/>
  <c r="L20" i="2"/>
  <c r="G19" i="2"/>
  <c r="L10" i="2"/>
  <c r="M19" i="3"/>
  <c r="M10" i="2" s="1"/>
  <c r="V3" i="5"/>
  <c r="V28" i="5" s="1"/>
  <c r="W4" i="3"/>
  <c r="W3" i="5" s="1"/>
  <c r="Q14" i="2"/>
  <c r="R23" i="3"/>
  <c r="R14" i="2" s="1"/>
  <c r="V4" i="5"/>
  <c r="W5" i="3"/>
  <c r="W4" i="5" s="1"/>
  <c r="V11" i="2"/>
  <c r="V33" i="2" s="1"/>
  <c r="W20" i="3"/>
  <c r="W11" i="2" s="1"/>
  <c r="G6" i="2"/>
  <c r="G28" i="2" s="1"/>
  <c r="H12" i="3"/>
  <c r="H6" i="2" s="1"/>
  <c r="H28" i="2" s="1"/>
  <c r="L14" i="2"/>
  <c r="M23" i="3"/>
  <c r="M14" i="2" s="1"/>
  <c r="Q13" i="2"/>
  <c r="Q35" i="2" s="1"/>
  <c r="R22" i="3"/>
  <c r="R13" i="2" s="1"/>
  <c r="R35" i="2" s="1"/>
  <c r="V18" i="2"/>
  <c r="V38" i="2" s="1"/>
  <c r="W30" i="3"/>
  <c r="G14" i="2"/>
  <c r="H23" i="3"/>
  <c r="H14" i="2" s="1"/>
  <c r="L5" i="5"/>
  <c r="M6" i="3"/>
  <c r="M5" i="5" s="1"/>
  <c r="L12" i="2"/>
  <c r="L34" i="2" s="1"/>
  <c r="M21" i="3"/>
  <c r="M12" i="2" s="1"/>
  <c r="Q4" i="5"/>
  <c r="R5" i="3"/>
  <c r="R4" i="5" s="1"/>
  <c r="Q11" i="2"/>
  <c r="Q33" i="2" s="1"/>
  <c r="R20" i="3"/>
  <c r="R11" i="2" s="1"/>
  <c r="R33" i="2" s="1"/>
  <c r="V6" i="2"/>
  <c r="V28" i="2" s="1"/>
  <c r="W12" i="3"/>
  <c r="W6" i="2" s="1"/>
  <c r="W28" i="2" s="1"/>
  <c r="AA28" i="2" s="1"/>
  <c r="AB28" i="2" s="1"/>
  <c r="V20" i="2"/>
  <c r="Q24" i="3"/>
  <c r="Q10" i="2"/>
  <c r="Q32" i="2" s="1"/>
  <c r="V14" i="3"/>
  <c r="V5" i="2"/>
  <c r="V27" i="2" s="1"/>
  <c r="G32" i="3"/>
  <c r="G18" i="2"/>
  <c r="G38" i="2" s="1"/>
  <c r="X32" i="2"/>
  <c r="X35" i="2"/>
  <c r="X34" i="2"/>
  <c r="X33" i="2"/>
  <c r="G14" i="3"/>
  <c r="G5" i="2"/>
  <c r="G27" i="2" s="1"/>
  <c r="G30" i="2" s="1"/>
  <c r="L14" i="3"/>
  <c r="L6" i="2"/>
  <c r="L28" i="2" s="1"/>
  <c r="Q32" i="3"/>
  <c r="F25" i="3"/>
  <c r="Q14" i="3"/>
  <c r="E25" i="3"/>
  <c r="L24" i="3"/>
  <c r="X15" i="3"/>
  <c r="X16" i="3" s="1"/>
  <c r="V24" i="3"/>
  <c r="G24" i="3"/>
  <c r="G25" i="3" s="1"/>
  <c r="Q7" i="3"/>
  <c r="V7" i="3"/>
  <c r="L7" i="3"/>
  <c r="I15" i="3"/>
  <c r="I16" i="3" s="1"/>
  <c r="F8" i="3"/>
  <c r="E8" i="3"/>
  <c r="D15" i="3"/>
  <c r="D16" i="3" s="1"/>
  <c r="V32" i="3"/>
  <c r="P15" i="3"/>
  <c r="P26" i="3" s="1"/>
  <c r="P27" i="3" s="1"/>
  <c r="U15" i="3"/>
  <c r="U16" i="3" s="1"/>
  <c r="O15" i="3"/>
  <c r="O16" i="3" s="1"/>
  <c r="O17" i="3" s="1"/>
  <c r="T15" i="3"/>
  <c r="T26" i="3" s="1"/>
  <c r="T27" i="3" s="1"/>
  <c r="N15" i="3"/>
  <c r="N16" i="3" s="1"/>
  <c r="N17" i="3" s="1"/>
  <c r="S15" i="3"/>
  <c r="S16" i="3" s="1"/>
  <c r="S17" i="3" s="1"/>
  <c r="L32" i="3"/>
  <c r="G7" i="3"/>
  <c r="F15" i="3"/>
  <c r="F26" i="3" s="1"/>
  <c r="K15" i="3"/>
  <c r="K16" i="3" s="1"/>
  <c r="E15" i="3"/>
  <c r="E16" i="3" s="1"/>
  <c r="J15" i="3"/>
  <c r="J16" i="3" s="1"/>
  <c r="Y25" i="3"/>
  <c r="Y15" i="3"/>
  <c r="Y16" i="3" s="1"/>
  <c r="Z17" i="3" s="1"/>
  <c r="Y8" i="3"/>
  <c r="D15" i="1"/>
  <c r="D32" i="7" s="1"/>
  <c r="E15" i="1"/>
  <c r="E32" i="7" s="1"/>
  <c r="F15" i="1"/>
  <c r="F32" i="7" s="1"/>
  <c r="G15" i="1"/>
  <c r="G32" i="7" s="1"/>
  <c r="C15" i="1"/>
  <c r="C32" i="7" s="1"/>
  <c r="D33" i="1"/>
  <c r="E33" i="1"/>
  <c r="F33" i="1"/>
  <c r="G33" i="1"/>
  <c r="C33" i="1"/>
  <c r="D8" i="1"/>
  <c r="E8" i="1"/>
  <c r="F8" i="1"/>
  <c r="G8" i="1"/>
  <c r="C8" i="1"/>
  <c r="D25" i="1"/>
  <c r="E25" i="1"/>
  <c r="F25" i="1"/>
  <c r="G25" i="1"/>
  <c r="C25" i="1"/>
  <c r="D3" i="1"/>
  <c r="E3" i="1" s="1"/>
  <c r="F3" i="1" s="1"/>
  <c r="G3" i="1" s="1"/>
  <c r="H3" i="1" s="1"/>
  <c r="I3" i="1" s="1"/>
  <c r="J3" i="1" s="1"/>
  <c r="K3" i="1" s="1"/>
  <c r="L3" i="1" s="1"/>
  <c r="M34" i="2" l="1"/>
  <c r="H35" i="2"/>
  <c r="D32" i="2"/>
  <c r="H41" i="2"/>
  <c r="D41" i="2"/>
  <c r="D7" i="7"/>
  <c r="D5" i="7"/>
  <c r="D9" i="7"/>
  <c r="D11" i="7"/>
  <c r="M35" i="2"/>
  <c r="AC28" i="2"/>
  <c r="AB6" i="2"/>
  <c r="I13" i="1" s="1"/>
  <c r="W35" i="2"/>
  <c r="W34" i="2"/>
  <c r="M33" i="2"/>
  <c r="E41" i="2"/>
  <c r="E32" i="2"/>
  <c r="M41" i="2"/>
  <c r="E7" i="7"/>
  <c r="E5" i="7"/>
  <c r="E9" i="7"/>
  <c r="E11" i="7"/>
  <c r="G41" i="2"/>
  <c r="W41" i="2"/>
  <c r="AA41" i="2" s="1"/>
  <c r="AB41" i="2" s="1"/>
  <c r="AC41" i="2" s="1"/>
  <c r="AD41" i="2" s="1"/>
  <c r="AE41" i="2" s="1"/>
  <c r="G7" i="7"/>
  <c r="G11" i="7"/>
  <c r="G5" i="7"/>
  <c r="G9" i="7"/>
  <c r="H9" i="7" s="1"/>
  <c r="W33" i="2"/>
  <c r="M32" i="2"/>
  <c r="G32" i="2"/>
  <c r="W32" i="2"/>
  <c r="C11" i="7"/>
  <c r="C7" i="7"/>
  <c r="C41" i="2"/>
  <c r="C9" i="7"/>
  <c r="C5" i="7"/>
  <c r="C35" i="2"/>
  <c r="AA35" i="2" s="1"/>
  <c r="AB35" i="2" s="1"/>
  <c r="AC35" i="2" s="1"/>
  <c r="AD35" i="2" s="1"/>
  <c r="AE35" i="2" s="1"/>
  <c r="C32" i="2"/>
  <c r="C33" i="2"/>
  <c r="AA33" i="2" s="1"/>
  <c r="AB33" i="2" s="1"/>
  <c r="AC33" i="2" s="1"/>
  <c r="AD33" i="2" s="1"/>
  <c r="AE33" i="2" s="1"/>
  <c r="C34" i="2"/>
  <c r="AA34" i="2" s="1"/>
  <c r="AB34" i="2" s="1"/>
  <c r="AC34" i="2" s="1"/>
  <c r="AD34" i="2" s="1"/>
  <c r="AE34" i="2" s="1"/>
  <c r="H32" i="2"/>
  <c r="F41" i="2"/>
  <c r="F32" i="2"/>
  <c r="R41" i="2"/>
  <c r="F11" i="7"/>
  <c r="F9" i="7"/>
  <c r="F7" i="7"/>
  <c r="F5" i="7"/>
  <c r="H33" i="2"/>
  <c r="H34" i="2"/>
  <c r="R47" i="3"/>
  <c r="R32" i="2"/>
  <c r="F26" i="1"/>
  <c r="F38" i="7"/>
  <c r="F43" i="7"/>
  <c r="F36" i="7"/>
  <c r="F34" i="7"/>
  <c r="F41" i="7"/>
  <c r="F26" i="7"/>
  <c r="F56" i="7"/>
  <c r="F27" i="7"/>
  <c r="F47" i="7"/>
  <c r="F45" i="7"/>
  <c r="E43" i="7"/>
  <c r="E38" i="7"/>
  <c r="E36" i="7"/>
  <c r="E34" i="7"/>
  <c r="D43" i="7"/>
  <c r="D36" i="7"/>
  <c r="D38" i="7"/>
  <c r="D34" i="7"/>
  <c r="W20" i="2"/>
  <c r="C27" i="7"/>
  <c r="I9" i="7"/>
  <c r="C45" i="7"/>
  <c r="C41" i="7"/>
  <c r="C26" i="7"/>
  <c r="C47" i="7"/>
  <c r="C56" i="7"/>
  <c r="G26" i="7"/>
  <c r="G47" i="7"/>
  <c r="H47" i="7" s="1"/>
  <c r="G45" i="7"/>
  <c r="G41" i="7"/>
  <c r="H41" i="7" s="1"/>
  <c r="G27" i="7"/>
  <c r="H27" i="7" s="1"/>
  <c r="I27" i="7" s="1"/>
  <c r="J27" i="7" s="1"/>
  <c r="K27" i="7" s="1"/>
  <c r="L27" i="7" s="1"/>
  <c r="G56" i="7"/>
  <c r="D27" i="7"/>
  <c r="D47" i="7"/>
  <c r="D56" i="7"/>
  <c r="D26" i="7"/>
  <c r="D41" i="7"/>
  <c r="D45" i="7"/>
  <c r="R20" i="2"/>
  <c r="H20" i="2"/>
  <c r="H32" i="7"/>
  <c r="C43" i="7"/>
  <c r="C38" i="7"/>
  <c r="C36" i="7"/>
  <c r="C34" i="7"/>
  <c r="G36" i="7"/>
  <c r="G34" i="7"/>
  <c r="H34" i="7" s="1"/>
  <c r="G43" i="7"/>
  <c r="H43" i="7" s="1"/>
  <c r="G38" i="7"/>
  <c r="E27" i="7"/>
  <c r="E56" i="7"/>
  <c r="E45" i="7"/>
  <c r="E41" i="7"/>
  <c r="E26" i="7"/>
  <c r="E47" i="7"/>
  <c r="M20" i="2"/>
  <c r="M21" i="2" s="1"/>
  <c r="I17" i="3"/>
  <c r="J17" i="3"/>
  <c r="E26" i="1"/>
  <c r="G26" i="1"/>
  <c r="R12" i="5"/>
  <c r="W15" i="2"/>
  <c r="R21" i="2"/>
  <c r="H32" i="3"/>
  <c r="H19" i="2"/>
  <c r="H21" i="2" s="1"/>
  <c r="R11" i="5"/>
  <c r="R50" i="5"/>
  <c r="M6" i="5"/>
  <c r="M10" i="5"/>
  <c r="M28" i="5"/>
  <c r="R10" i="5"/>
  <c r="R6" i="5"/>
  <c r="H11" i="5"/>
  <c r="H50" i="5"/>
  <c r="H51" i="5" s="1"/>
  <c r="H34" i="5" s="1"/>
  <c r="D26" i="1"/>
  <c r="W50" i="5"/>
  <c r="W51" i="5" s="1"/>
  <c r="W34" i="5" s="1"/>
  <c r="W11" i="5"/>
  <c r="H12" i="5"/>
  <c r="H67" i="5"/>
  <c r="H68" i="5" s="1"/>
  <c r="W10" i="5"/>
  <c r="W6" i="5"/>
  <c r="W28" i="5"/>
  <c r="M15" i="2"/>
  <c r="R8" i="2"/>
  <c r="M50" i="5"/>
  <c r="M51" i="5" s="1"/>
  <c r="M34" i="5" s="1"/>
  <c r="M11" i="5"/>
  <c r="H15" i="2"/>
  <c r="M12" i="5"/>
  <c r="M67" i="5"/>
  <c r="H6" i="5"/>
  <c r="H10" i="5"/>
  <c r="H28" i="5"/>
  <c r="H29" i="5" s="1"/>
  <c r="H14" i="3"/>
  <c r="H7" i="2"/>
  <c r="H29" i="2" s="1"/>
  <c r="AA29" i="2" s="1"/>
  <c r="AB29" i="2" s="1"/>
  <c r="AC29" i="2" s="1"/>
  <c r="AD29" i="2" s="1"/>
  <c r="AE29" i="2" s="1"/>
  <c r="W8" i="2"/>
  <c r="W32" i="3"/>
  <c r="W18" i="2"/>
  <c r="W38" i="2" s="1"/>
  <c r="AA38" i="2" s="1"/>
  <c r="R15" i="2"/>
  <c r="W12" i="5"/>
  <c r="W67" i="5"/>
  <c r="X67" i="5" s="1"/>
  <c r="M8" i="2"/>
  <c r="Q50" i="5"/>
  <c r="Q51" i="5" s="1"/>
  <c r="Q34" i="5" s="1"/>
  <c r="G11" i="5"/>
  <c r="G50" i="5"/>
  <c r="L50" i="5"/>
  <c r="L51" i="5" s="1"/>
  <c r="L34" i="5" s="1"/>
  <c r="V50" i="5"/>
  <c r="V51" i="5" s="1"/>
  <c r="V34" i="5" s="1"/>
  <c r="V29" i="5"/>
  <c r="L29" i="5"/>
  <c r="Q11" i="5"/>
  <c r="Q29" i="5"/>
  <c r="L11" i="5"/>
  <c r="L10" i="5"/>
  <c r="L6" i="5"/>
  <c r="L60" i="5" s="1"/>
  <c r="G10" i="5"/>
  <c r="G6" i="5"/>
  <c r="G60" i="5" s="1"/>
  <c r="V11" i="5"/>
  <c r="V67" i="5"/>
  <c r="V12" i="5"/>
  <c r="L67" i="5"/>
  <c r="L12" i="5"/>
  <c r="Q67" i="5"/>
  <c r="Q12" i="5"/>
  <c r="Q6" i="5"/>
  <c r="Q60" i="5" s="1"/>
  <c r="Q10" i="5"/>
  <c r="V6" i="5"/>
  <c r="V60" i="5" s="1"/>
  <c r="V10" i="5"/>
  <c r="Q25" i="3"/>
  <c r="L8" i="3"/>
  <c r="X8" i="3"/>
  <c r="V8" i="3"/>
  <c r="Q8" i="3"/>
  <c r="V25" i="3"/>
  <c r="L25" i="3"/>
  <c r="G15" i="2"/>
  <c r="Q21" i="2"/>
  <c r="V15" i="2"/>
  <c r="V21" i="2"/>
  <c r="G67" i="5"/>
  <c r="M32" i="3"/>
  <c r="H24" i="3"/>
  <c r="H25" i="3" s="1"/>
  <c r="L21" i="2"/>
  <c r="L15" i="2"/>
  <c r="G12" i="5"/>
  <c r="M24" i="3"/>
  <c r="R24" i="3"/>
  <c r="G21" i="2"/>
  <c r="R14" i="3"/>
  <c r="H7" i="3"/>
  <c r="Y17" i="3"/>
  <c r="Q8" i="2"/>
  <c r="W7" i="3"/>
  <c r="R7" i="3"/>
  <c r="W24" i="3"/>
  <c r="R32" i="3"/>
  <c r="M14" i="3"/>
  <c r="W14" i="3"/>
  <c r="M7" i="3"/>
  <c r="Y26" i="3"/>
  <c r="Y27" i="3" s="1"/>
  <c r="E17" i="3"/>
  <c r="L8" i="2"/>
  <c r="Q15" i="2"/>
  <c r="G8" i="2"/>
  <c r="V8" i="2"/>
  <c r="E26" i="3"/>
  <c r="E27" i="3" s="1"/>
  <c r="D26" i="3"/>
  <c r="D27" i="3" s="1"/>
  <c r="X26" i="3"/>
  <c r="X27" i="3" s="1"/>
  <c r="U26" i="3"/>
  <c r="U27" i="3" s="1"/>
  <c r="Q15" i="3"/>
  <c r="Q26" i="3" s="1"/>
  <c r="Q27" i="3" s="1"/>
  <c r="V15" i="3"/>
  <c r="V16" i="3" s="1"/>
  <c r="T16" i="3"/>
  <c r="T17" i="3" s="1"/>
  <c r="N26" i="3"/>
  <c r="N27" i="3" s="1"/>
  <c r="K26" i="3"/>
  <c r="K33" i="3" s="1"/>
  <c r="K37" i="3" s="1"/>
  <c r="K38" i="3" s="1"/>
  <c r="L15" i="3"/>
  <c r="I26" i="3"/>
  <c r="I33" i="3" s="1"/>
  <c r="I37" i="3" s="1"/>
  <c r="I38" i="3" s="1"/>
  <c r="G15" i="3"/>
  <c r="G26" i="3" s="1"/>
  <c r="G27" i="3" s="1"/>
  <c r="G8" i="3"/>
  <c r="P16" i="3"/>
  <c r="P17" i="3" s="1"/>
  <c r="P33" i="3"/>
  <c r="P37" i="3" s="1"/>
  <c r="P38" i="3" s="1"/>
  <c r="O26" i="3"/>
  <c r="O27" i="3" s="1"/>
  <c r="T33" i="3"/>
  <c r="T37" i="3" s="1"/>
  <c r="T38" i="3" s="1"/>
  <c r="S26" i="3"/>
  <c r="S27" i="3" s="1"/>
  <c r="F16" i="3"/>
  <c r="F17" i="3" s="1"/>
  <c r="F33" i="3"/>
  <c r="F37" i="3" s="1"/>
  <c r="F38" i="3" s="1"/>
  <c r="F27" i="3"/>
  <c r="J26" i="3"/>
  <c r="J27" i="3" s="1"/>
  <c r="G9" i="1"/>
  <c r="F9" i="1"/>
  <c r="C16" i="1"/>
  <c r="C17" i="1" s="1"/>
  <c r="D16" i="1"/>
  <c r="D17" i="1" s="1"/>
  <c r="E9" i="1"/>
  <c r="D9" i="1"/>
  <c r="G16" i="1"/>
  <c r="G17" i="1" s="1"/>
  <c r="E16" i="1"/>
  <c r="F16" i="1"/>
  <c r="G27" i="1"/>
  <c r="AA18" i="2" l="1"/>
  <c r="AA21" i="2" s="1"/>
  <c r="AB38" i="2"/>
  <c r="AA32" i="2"/>
  <c r="AB32" i="2" s="1"/>
  <c r="AC32" i="2" s="1"/>
  <c r="AD32" i="2" s="1"/>
  <c r="AE32" i="2" s="1"/>
  <c r="AD28" i="2"/>
  <c r="AC6" i="2"/>
  <c r="J13" i="1" s="1"/>
  <c r="G34" i="1"/>
  <c r="C27" i="9"/>
  <c r="C28" i="9" s="1"/>
  <c r="I41" i="7"/>
  <c r="I34" i="7"/>
  <c r="J34" i="7" s="1"/>
  <c r="K34" i="7" s="1"/>
  <c r="L34" i="7" s="1"/>
  <c r="I32" i="7"/>
  <c r="I43" i="7"/>
  <c r="I47" i="7"/>
  <c r="J9" i="7"/>
  <c r="W21" i="2"/>
  <c r="H56" i="7"/>
  <c r="I56" i="7" s="1"/>
  <c r="J56" i="7" s="1"/>
  <c r="K56" i="7" s="1"/>
  <c r="L56" i="7" s="1"/>
  <c r="H38" i="7"/>
  <c r="H7" i="7"/>
  <c r="H45" i="7"/>
  <c r="Q68" i="5"/>
  <c r="H5" i="7"/>
  <c r="H36" i="7"/>
  <c r="R23" i="2"/>
  <c r="L68" i="5"/>
  <c r="U17" i="3"/>
  <c r="K17" i="3"/>
  <c r="W33" i="5"/>
  <c r="W52" i="5"/>
  <c r="H33" i="5"/>
  <c r="H52" i="5"/>
  <c r="M29" i="5"/>
  <c r="R33" i="5"/>
  <c r="Y67" i="5"/>
  <c r="X5" i="5"/>
  <c r="H7" i="1" s="1"/>
  <c r="AA7" i="2" s="1"/>
  <c r="H14" i="1" s="1"/>
  <c r="H8" i="2"/>
  <c r="H23" i="2" s="1"/>
  <c r="M68" i="5"/>
  <c r="V33" i="5"/>
  <c r="V52" i="5"/>
  <c r="R51" i="5"/>
  <c r="R34" i="5" s="1"/>
  <c r="X34" i="5" s="1"/>
  <c r="M33" i="5"/>
  <c r="M52" i="5"/>
  <c r="L33" i="5"/>
  <c r="L52" i="5"/>
  <c r="G33" i="5"/>
  <c r="M23" i="2"/>
  <c r="W23" i="2"/>
  <c r="W25" i="3"/>
  <c r="Q33" i="5"/>
  <c r="Q52" i="5"/>
  <c r="G51" i="5"/>
  <c r="G34" i="5" s="1"/>
  <c r="V68" i="5"/>
  <c r="V63" i="5"/>
  <c r="W60" i="5"/>
  <c r="Q62" i="5"/>
  <c r="R60" i="5"/>
  <c r="L61" i="5"/>
  <c r="M60" i="5"/>
  <c r="G61" i="5"/>
  <c r="H60" i="5"/>
  <c r="W8" i="3"/>
  <c r="R25" i="3"/>
  <c r="M15" i="3"/>
  <c r="M26" i="3" s="1"/>
  <c r="M8" i="3"/>
  <c r="H15" i="3"/>
  <c r="H26" i="3" s="1"/>
  <c r="H8" i="3"/>
  <c r="R8" i="3"/>
  <c r="M25" i="3"/>
  <c r="G23" i="2"/>
  <c r="V62" i="5"/>
  <c r="Q63" i="5"/>
  <c r="V61" i="5"/>
  <c r="G62" i="5"/>
  <c r="L63" i="5"/>
  <c r="L62" i="5"/>
  <c r="V23" i="2"/>
  <c r="Q61" i="5"/>
  <c r="L23" i="2"/>
  <c r="X33" i="3"/>
  <c r="X37" i="3" s="1"/>
  <c r="X38" i="3" s="1"/>
  <c r="D33" i="3"/>
  <c r="D37" i="3" s="1"/>
  <c r="D38" i="3" s="1"/>
  <c r="G63" i="5"/>
  <c r="W15" i="3"/>
  <c r="Q23" i="2"/>
  <c r="Y33" i="3"/>
  <c r="Y37" i="3" s="1"/>
  <c r="Y38" i="3" s="1"/>
  <c r="R15" i="3"/>
  <c r="I27" i="3"/>
  <c r="E33" i="3"/>
  <c r="E37" i="3" s="1"/>
  <c r="E38" i="3" s="1"/>
  <c r="U33" i="3"/>
  <c r="U37" i="3" s="1"/>
  <c r="U38" i="3" s="1"/>
  <c r="X17" i="3"/>
  <c r="Q16" i="3"/>
  <c r="Q33" i="3"/>
  <c r="G16" i="3"/>
  <c r="V26" i="3"/>
  <c r="V27" i="3" s="1"/>
  <c r="K27" i="3"/>
  <c r="N33" i="3"/>
  <c r="N37" i="3" s="1"/>
  <c r="N38" i="3" s="1"/>
  <c r="L16" i="3"/>
  <c r="L26" i="3"/>
  <c r="G33" i="3"/>
  <c r="O33" i="3"/>
  <c r="O37" i="3" s="1"/>
  <c r="O38" i="3" s="1"/>
  <c r="S33" i="3"/>
  <c r="S37" i="3" s="1"/>
  <c r="S38" i="3" s="1"/>
  <c r="J33" i="3"/>
  <c r="J37" i="3" s="1"/>
  <c r="J38" i="3" s="1"/>
  <c r="C27" i="1"/>
  <c r="C34" i="1" s="1"/>
  <c r="F27" i="1"/>
  <c r="F34" i="1" s="1"/>
  <c r="F17" i="1"/>
  <c r="E27" i="1"/>
  <c r="E28" i="1" s="1"/>
  <c r="E17" i="1"/>
  <c r="D27" i="1"/>
  <c r="D34" i="1" s="1"/>
  <c r="G28" i="1"/>
  <c r="L17" i="3" l="1"/>
  <c r="C38" i="1"/>
  <c r="C39" i="1" s="1"/>
  <c r="C36" i="1"/>
  <c r="C39" i="2" s="1"/>
  <c r="G38" i="1"/>
  <c r="G36" i="1"/>
  <c r="F38" i="1"/>
  <c r="F39" i="1" s="1"/>
  <c r="F36" i="1"/>
  <c r="AE28" i="2"/>
  <c r="AE6" i="2" s="1"/>
  <c r="L13" i="1" s="1"/>
  <c r="AD6" i="2"/>
  <c r="K13" i="1" s="1"/>
  <c r="D38" i="1"/>
  <c r="D39" i="1" s="1"/>
  <c r="D36" i="1"/>
  <c r="AB18" i="2"/>
  <c r="AB21" i="2" s="1"/>
  <c r="AC38" i="2"/>
  <c r="J43" i="7"/>
  <c r="J32" i="7"/>
  <c r="H31" i="1"/>
  <c r="I45" i="7"/>
  <c r="J41" i="7"/>
  <c r="I38" i="7"/>
  <c r="I36" i="7"/>
  <c r="J47" i="7"/>
  <c r="I7" i="7"/>
  <c r="I5" i="7"/>
  <c r="K9" i="7"/>
  <c r="G37" i="3"/>
  <c r="G38" i="3" s="1"/>
  <c r="G35" i="3"/>
  <c r="Q37" i="3"/>
  <c r="Q38" i="3" s="1"/>
  <c r="Q35" i="3"/>
  <c r="G52" i="5"/>
  <c r="Q17" i="3"/>
  <c r="V17" i="3"/>
  <c r="Z67" i="5"/>
  <c r="Y5" i="5"/>
  <c r="I7" i="1" s="1"/>
  <c r="F28" i="1"/>
  <c r="R52" i="5"/>
  <c r="C28" i="1"/>
  <c r="M16" i="3"/>
  <c r="R62" i="5"/>
  <c r="W63" i="5"/>
  <c r="R63" i="5"/>
  <c r="R61" i="5"/>
  <c r="M62" i="5"/>
  <c r="W61" i="5"/>
  <c r="W62" i="5"/>
  <c r="M61" i="5"/>
  <c r="M63" i="5"/>
  <c r="H63" i="5"/>
  <c r="H61" i="5"/>
  <c r="H62" i="5"/>
  <c r="H16" i="3"/>
  <c r="H17" i="3" s="1"/>
  <c r="M33" i="3"/>
  <c r="M27" i="3"/>
  <c r="H27" i="3"/>
  <c r="H33" i="3"/>
  <c r="H37" i="3" s="1"/>
  <c r="R26" i="3"/>
  <c r="R16" i="3"/>
  <c r="W16" i="3"/>
  <c r="W26" i="3"/>
  <c r="V33" i="3"/>
  <c r="G17" i="3"/>
  <c r="L33" i="3"/>
  <c r="L27" i="3"/>
  <c r="E34" i="1"/>
  <c r="D28" i="1"/>
  <c r="K39" i="2" l="1"/>
  <c r="W39" i="2"/>
  <c r="G39" i="2"/>
  <c r="E38" i="1"/>
  <c r="E39" i="1" s="1"/>
  <c r="E36" i="1"/>
  <c r="R39" i="2"/>
  <c r="J39" i="2"/>
  <c r="F39" i="2"/>
  <c r="AC18" i="2"/>
  <c r="AC21" i="2" s="1"/>
  <c r="AD38" i="2"/>
  <c r="C3" i="9"/>
  <c r="C5" i="9" s="1"/>
  <c r="G39" i="1"/>
  <c r="H39" i="2"/>
  <c r="D39" i="2"/>
  <c r="I29" i="2"/>
  <c r="AB7" i="2"/>
  <c r="I14" i="1" s="1"/>
  <c r="I31" i="1"/>
  <c r="K32" i="7"/>
  <c r="J45" i="7"/>
  <c r="K43" i="7"/>
  <c r="K41" i="7"/>
  <c r="J36" i="7"/>
  <c r="J38" i="7"/>
  <c r="K47" i="7"/>
  <c r="J7" i="7"/>
  <c r="J5" i="7"/>
  <c r="L9" i="7"/>
  <c r="M37" i="3"/>
  <c r="M38" i="3" s="1"/>
  <c r="M35" i="3"/>
  <c r="L37" i="3"/>
  <c r="L38" i="3" s="1"/>
  <c r="L35" i="3"/>
  <c r="H38" i="3"/>
  <c r="H35" i="3"/>
  <c r="V37" i="3"/>
  <c r="V38" i="3" s="1"/>
  <c r="V35" i="3"/>
  <c r="R17" i="3"/>
  <c r="M17" i="3"/>
  <c r="AA67" i="5"/>
  <c r="Z5" i="5"/>
  <c r="J7" i="1" s="1"/>
  <c r="W17" i="3"/>
  <c r="W27" i="3"/>
  <c r="W33" i="3"/>
  <c r="R27" i="3"/>
  <c r="R33" i="3"/>
  <c r="R25" i="5"/>
  <c r="R28" i="5" s="1"/>
  <c r="R55" i="5"/>
  <c r="R57" i="5"/>
  <c r="M39" i="2" l="1"/>
  <c r="I39" i="2"/>
  <c r="E39" i="2"/>
  <c r="AD18" i="2"/>
  <c r="AD21" i="2" s="1"/>
  <c r="AE38" i="2"/>
  <c r="AE18" i="2" s="1"/>
  <c r="AE21" i="2" s="1"/>
  <c r="J29" i="2"/>
  <c r="AC7" i="2"/>
  <c r="J14" i="1" s="1"/>
  <c r="J31" i="1"/>
  <c r="L41" i="7"/>
  <c r="L43" i="7"/>
  <c r="K45" i="7"/>
  <c r="L32" i="7"/>
  <c r="K38" i="7"/>
  <c r="K36" i="7"/>
  <c r="L47" i="7"/>
  <c r="K7" i="7"/>
  <c r="K5" i="7"/>
  <c r="R37" i="3"/>
  <c r="R38" i="3" s="1"/>
  <c r="R35" i="3"/>
  <c r="W37" i="3"/>
  <c r="W38" i="3" s="1"/>
  <c r="W35" i="3"/>
  <c r="AB67" i="5"/>
  <c r="AB5" i="5" s="1"/>
  <c r="L7" i="1" s="1"/>
  <c r="AA5" i="5"/>
  <c r="K7" i="1" s="1"/>
  <c r="R29" i="5"/>
  <c r="W29" i="5"/>
  <c r="R67" i="5"/>
  <c r="R26" i="5"/>
  <c r="W26" i="5"/>
  <c r="R56" i="5"/>
  <c r="W56" i="5"/>
  <c r="R58" i="5"/>
  <c r="W58" i="5"/>
  <c r="AE7" i="2" l="1"/>
  <c r="L14" i="1" s="1"/>
  <c r="L29" i="2"/>
  <c r="K29" i="2"/>
  <c r="AD7" i="2"/>
  <c r="K14" i="1" s="1"/>
  <c r="K31" i="1"/>
  <c r="L31" i="1"/>
  <c r="L45" i="7"/>
  <c r="L36" i="7"/>
  <c r="L38" i="7"/>
  <c r="L7" i="7"/>
  <c r="L5" i="7"/>
  <c r="X29" i="5"/>
  <c r="X56" i="5"/>
  <c r="X55" i="5" s="1"/>
  <c r="Y55" i="5" s="1"/>
  <c r="R68" i="5"/>
  <c r="W68" i="5"/>
  <c r="X37" i="5" l="1"/>
  <c r="Z55" i="5"/>
  <c r="Y37" i="5"/>
  <c r="X38" i="5"/>
  <c r="X42" i="5"/>
  <c r="X50" i="5" s="1"/>
  <c r="X57" i="5"/>
  <c r="Y58" i="5"/>
  <c r="Z58" i="5" s="1"/>
  <c r="AA58" i="5" s="1"/>
  <c r="AB58" i="5" s="1"/>
  <c r="Y29" i="5"/>
  <c r="Z29" i="5" s="1"/>
  <c r="AA29" i="5" s="1"/>
  <c r="AB29" i="5" s="1"/>
  <c r="X28" i="5"/>
  <c r="X39" i="5" l="1"/>
  <c r="Y57" i="5"/>
  <c r="Y42" i="5"/>
  <c r="Y50" i="5" s="1"/>
  <c r="Y38" i="5"/>
  <c r="AA55" i="5"/>
  <c r="Z37" i="5"/>
  <c r="Y28" i="5"/>
  <c r="X3" i="5"/>
  <c r="H5" i="1" s="1"/>
  <c r="AA5" i="2" s="1"/>
  <c r="H12" i="1" l="1"/>
  <c r="X41" i="5"/>
  <c r="X47" i="5" s="1"/>
  <c r="X48" i="5"/>
  <c r="Z38" i="5"/>
  <c r="Z42" i="5"/>
  <c r="Z50" i="5" s="1"/>
  <c r="AA37" i="5"/>
  <c r="AB55" i="5"/>
  <c r="AB37" i="5" s="1"/>
  <c r="Y39" i="5"/>
  <c r="Z57" i="5"/>
  <c r="X44" i="5"/>
  <c r="X51" i="5" s="1"/>
  <c r="X52" i="5" s="1"/>
  <c r="X4" i="5" s="1"/>
  <c r="X40" i="5"/>
  <c r="Z28" i="5"/>
  <c r="Y3" i="5"/>
  <c r="Y6" i="5" l="1"/>
  <c r="I5" i="1"/>
  <c r="X6" i="5"/>
  <c r="H6" i="1"/>
  <c r="Y41" i="5"/>
  <c r="Y47" i="5" s="1"/>
  <c r="Y48" i="5"/>
  <c r="AA57" i="5"/>
  <c r="Z39" i="5"/>
  <c r="Y44" i="5"/>
  <c r="Y51" i="5" s="1"/>
  <c r="Y40" i="5"/>
  <c r="AB42" i="5"/>
  <c r="AB50" i="5" s="1"/>
  <c r="AB38" i="5"/>
  <c r="AA42" i="5"/>
  <c r="AA50" i="5" s="1"/>
  <c r="AA38" i="5"/>
  <c r="AA28" i="5"/>
  <c r="Z3" i="5"/>
  <c r="H8" i="1" l="1"/>
  <c r="AA6" i="2"/>
  <c r="I8" i="1"/>
  <c r="AB5" i="2"/>
  <c r="I27" i="2"/>
  <c r="H52" i="7"/>
  <c r="H15" i="7"/>
  <c r="I52" i="7"/>
  <c r="D6" i="8" s="1"/>
  <c r="Z6" i="5"/>
  <c r="J5" i="1"/>
  <c r="H9" i="1"/>
  <c r="Z41" i="5"/>
  <c r="Z47" i="5" s="1"/>
  <c r="Z48" i="5"/>
  <c r="Z44" i="5"/>
  <c r="Z51" i="5" s="1"/>
  <c r="Z40" i="5"/>
  <c r="AB57" i="5"/>
  <c r="AB39" i="5" s="1"/>
  <c r="AA39" i="5"/>
  <c r="AB28" i="5"/>
  <c r="AB3" i="5" s="1"/>
  <c r="AA3" i="5"/>
  <c r="H54" i="7" l="1"/>
  <c r="C6" i="8"/>
  <c r="H13" i="1"/>
  <c r="H15" i="1" s="1"/>
  <c r="AA18" i="4" s="1"/>
  <c r="AA8" i="2"/>
  <c r="AB8" i="2"/>
  <c r="I12" i="1"/>
  <c r="I15" i="1" s="1"/>
  <c r="AB18" i="4" s="1"/>
  <c r="J8" i="1"/>
  <c r="J52" i="7" s="1"/>
  <c r="E6" i="8" s="1"/>
  <c r="AC5" i="2"/>
  <c r="J27" i="2"/>
  <c r="I32" i="2"/>
  <c r="AB11" i="2"/>
  <c r="I21" i="1" s="1"/>
  <c r="AB13" i="2"/>
  <c r="I23" i="1" s="1"/>
  <c r="AB12" i="2"/>
  <c r="I22" i="1" s="1"/>
  <c r="I32" i="1"/>
  <c r="AB10" i="2"/>
  <c r="AB13" i="4"/>
  <c r="AB10" i="4"/>
  <c r="AB28" i="4"/>
  <c r="D19" i="8" s="1"/>
  <c r="AB25" i="4"/>
  <c r="AB6" i="4"/>
  <c r="AB7" i="4"/>
  <c r="AB27" i="4"/>
  <c r="I9" i="1"/>
  <c r="I33" i="2" s="1"/>
  <c r="I15" i="7"/>
  <c r="AA12" i="2"/>
  <c r="H22" i="1" s="1"/>
  <c r="AA11" i="2"/>
  <c r="H21" i="1" s="1"/>
  <c r="AA13" i="2"/>
  <c r="H23" i="1" s="1"/>
  <c r="H32" i="1"/>
  <c r="H33" i="1" s="1"/>
  <c r="AA13" i="4"/>
  <c r="AA10" i="2"/>
  <c r="AA10" i="4"/>
  <c r="AA28" i="4"/>
  <c r="C19" i="8" s="1"/>
  <c r="AA25" i="4"/>
  <c r="AA6" i="4"/>
  <c r="C9" i="8" s="1"/>
  <c r="AA27" i="4"/>
  <c r="C18" i="8" s="1"/>
  <c r="AA7" i="4"/>
  <c r="C10" i="8" s="1"/>
  <c r="J15" i="7"/>
  <c r="AA6" i="5"/>
  <c r="K5" i="1"/>
  <c r="AB6" i="5"/>
  <c r="L5" i="1"/>
  <c r="AA41" i="5"/>
  <c r="AA47" i="5" s="1"/>
  <c r="AB41" i="5"/>
  <c r="AB47" i="5" s="1"/>
  <c r="AB48" i="5"/>
  <c r="AA40" i="5"/>
  <c r="AA44" i="5"/>
  <c r="AA51" i="5" s="1"/>
  <c r="AB40" i="5"/>
  <c r="AB44" i="5"/>
  <c r="AB51" i="5" s="1"/>
  <c r="D10" i="8" l="1"/>
  <c r="H16" i="1"/>
  <c r="H17" i="1" s="1"/>
  <c r="L8" i="1"/>
  <c r="L27" i="2"/>
  <c r="AE5" i="2"/>
  <c r="K8" i="1"/>
  <c r="K9" i="1" s="1"/>
  <c r="K33" i="2" s="1"/>
  <c r="AD5" i="2"/>
  <c r="K27" i="2"/>
  <c r="C31" i="8"/>
  <c r="C33" i="8" s="1"/>
  <c r="I16" i="1"/>
  <c r="J9" i="1"/>
  <c r="J33" i="2" s="1"/>
  <c r="AA15" i="2"/>
  <c r="H20" i="1"/>
  <c r="H25" i="1" s="1"/>
  <c r="AB15" i="2"/>
  <c r="I20" i="1"/>
  <c r="I25" i="1" s="1"/>
  <c r="J12" i="1"/>
  <c r="J15" i="1" s="1"/>
  <c r="AC18" i="4" s="1"/>
  <c r="AC8" i="2"/>
  <c r="D12" i="8"/>
  <c r="C12" i="8"/>
  <c r="D18" i="8"/>
  <c r="I41" i="2"/>
  <c r="I33" i="1"/>
  <c r="J32" i="2"/>
  <c r="AC10" i="2"/>
  <c r="J20" i="1" s="1"/>
  <c r="AC12" i="2"/>
  <c r="J22" i="1" s="1"/>
  <c r="AC11" i="2"/>
  <c r="J32" i="1"/>
  <c r="AC13" i="2"/>
  <c r="J23" i="1" s="1"/>
  <c r="AC13" i="4"/>
  <c r="AC10" i="4"/>
  <c r="AC25" i="4"/>
  <c r="AC28" i="4"/>
  <c r="E19" i="8" s="1"/>
  <c r="AC7" i="4"/>
  <c r="AC6" i="4"/>
  <c r="AC27" i="4"/>
  <c r="E18" i="8" s="1"/>
  <c r="D13" i="8"/>
  <c r="D9" i="8"/>
  <c r="E9" i="8"/>
  <c r="D31" i="8"/>
  <c r="D33" i="8" s="1"/>
  <c r="C13" i="8"/>
  <c r="C11" i="8"/>
  <c r="D11" i="8"/>
  <c r="I50" i="7"/>
  <c r="I54" i="7" s="1"/>
  <c r="AA34" i="4"/>
  <c r="L15" i="7"/>
  <c r="L52" i="7"/>
  <c r="G6" i="8" s="1"/>
  <c r="K15" i="7"/>
  <c r="K52" i="7"/>
  <c r="F6" i="8" s="1"/>
  <c r="L9" i="1"/>
  <c r="L33" i="2" s="1"/>
  <c r="AA48" i="5"/>
  <c r="H26" i="7"/>
  <c r="I26" i="7" s="1"/>
  <c r="J26" i="7" s="1"/>
  <c r="K26" i="7" s="1"/>
  <c r="L26" i="7" s="1"/>
  <c r="L16" i="7" s="1"/>
  <c r="G5" i="8" s="1"/>
  <c r="E13" i="8" l="1"/>
  <c r="E31" i="8"/>
  <c r="E33" i="8" s="1"/>
  <c r="I26" i="1"/>
  <c r="AB19" i="4"/>
  <c r="AB22" i="4"/>
  <c r="AB20" i="4"/>
  <c r="D15" i="8" s="1"/>
  <c r="AB23" i="2"/>
  <c r="AB26" i="4"/>
  <c r="E11" i="8"/>
  <c r="H27" i="1"/>
  <c r="H26" i="1"/>
  <c r="AA19" i="4"/>
  <c r="AA20" i="4"/>
  <c r="C15" i="8" s="1"/>
  <c r="AA22" i="4"/>
  <c r="C16" i="8" s="1"/>
  <c r="AD13" i="2"/>
  <c r="K23" i="1" s="1"/>
  <c r="AD12" i="2"/>
  <c r="K22" i="1" s="1"/>
  <c r="K32" i="2"/>
  <c r="AD11" i="2"/>
  <c r="K21" i="1" s="1"/>
  <c r="AD10" i="2"/>
  <c r="K32" i="1"/>
  <c r="AD13" i="4"/>
  <c r="F12" i="8" s="1"/>
  <c r="AD10" i="4"/>
  <c r="AD25" i="4"/>
  <c r="AD28" i="4"/>
  <c r="F19" i="8" s="1"/>
  <c r="AD6" i="4"/>
  <c r="AD7" i="4"/>
  <c r="AD27" i="4"/>
  <c r="F18" i="8" s="1"/>
  <c r="K12" i="1"/>
  <c r="K15" i="1" s="1"/>
  <c r="AD18" i="4" s="1"/>
  <c r="AD8" i="2"/>
  <c r="J41" i="2"/>
  <c r="J33" i="1"/>
  <c r="AA23" i="2"/>
  <c r="AA26" i="4"/>
  <c r="AE8" i="2"/>
  <c r="L12" i="1"/>
  <c r="L15" i="1" s="1"/>
  <c r="AE18" i="4" s="1"/>
  <c r="F9" i="8"/>
  <c r="I27" i="1"/>
  <c r="I17" i="1"/>
  <c r="L32" i="1"/>
  <c r="AE13" i="2"/>
  <c r="L23" i="1" s="1"/>
  <c r="AE12" i="2"/>
  <c r="L22" i="1" s="1"/>
  <c r="L32" i="2"/>
  <c r="AE10" i="2"/>
  <c r="L20" i="1" s="1"/>
  <c r="L16" i="1"/>
  <c r="AE11" i="2"/>
  <c r="AE13" i="4"/>
  <c r="AE10" i="4"/>
  <c r="AE28" i="4"/>
  <c r="G19" i="8" s="1"/>
  <c r="AE25" i="4"/>
  <c r="AE27" i="4"/>
  <c r="AE6" i="4"/>
  <c r="AE7" i="4"/>
  <c r="AC15" i="2"/>
  <c r="J21" i="1"/>
  <c r="J25" i="1" s="1"/>
  <c r="J50" i="7"/>
  <c r="J54" i="7" s="1"/>
  <c r="AB34" i="4"/>
  <c r="E10" i="8"/>
  <c r="F10" i="8"/>
  <c r="E12" i="8"/>
  <c r="J16" i="1"/>
  <c r="I16" i="7"/>
  <c r="D5" i="8" s="1"/>
  <c r="J16" i="7"/>
  <c r="E5" i="8" s="1"/>
  <c r="K16" i="7"/>
  <c r="F5" i="8" s="1"/>
  <c r="H16" i="7"/>
  <c r="G11" i="8" l="1"/>
  <c r="G31" i="8"/>
  <c r="G33" i="8" s="1"/>
  <c r="K16" i="1"/>
  <c r="K17" i="1" s="1"/>
  <c r="K50" i="7"/>
  <c r="K54" i="7" s="1"/>
  <c r="AC34" i="4"/>
  <c r="AC23" i="2"/>
  <c r="AC26" i="4"/>
  <c r="L41" i="2"/>
  <c r="L33" i="1"/>
  <c r="C17" i="8"/>
  <c r="AA29" i="4"/>
  <c r="G10" i="8"/>
  <c r="J27" i="1"/>
  <c r="J34" i="1" s="1"/>
  <c r="J35" i="1" s="1"/>
  <c r="J38" i="1" s="1"/>
  <c r="J17" i="1"/>
  <c r="G9" i="8"/>
  <c r="D27" i="9"/>
  <c r="H28" i="1"/>
  <c r="H34" i="1"/>
  <c r="H35" i="1" s="1"/>
  <c r="H38" i="1" s="1"/>
  <c r="J26" i="1"/>
  <c r="AC19" i="4"/>
  <c r="AC20" i="4"/>
  <c r="E15" i="8" s="1"/>
  <c r="AC22" i="4"/>
  <c r="E16" i="8" s="1"/>
  <c r="AE15" i="2"/>
  <c r="L21" i="1"/>
  <c r="L25" i="1" s="1"/>
  <c r="E27" i="9"/>
  <c r="I28" i="1"/>
  <c r="F31" i="8"/>
  <c r="F33" i="8" s="1"/>
  <c r="D17" i="8"/>
  <c r="AB29" i="4"/>
  <c r="L17" i="1"/>
  <c r="H17" i="7"/>
  <c r="I14" i="7" s="1"/>
  <c r="I17" i="7" s="1"/>
  <c r="C5" i="8"/>
  <c r="F11" i="8"/>
  <c r="G18" i="8"/>
  <c r="F13" i="8"/>
  <c r="G12" i="8"/>
  <c r="G13" i="8"/>
  <c r="I34" i="1"/>
  <c r="I35" i="1" s="1"/>
  <c r="I38" i="1" s="1"/>
  <c r="K41" i="2"/>
  <c r="K33" i="1"/>
  <c r="D16" i="8"/>
  <c r="K20" i="1"/>
  <c r="K25" i="1" s="1"/>
  <c r="AD15" i="2"/>
  <c r="C14" i="8"/>
  <c r="AA23" i="4"/>
  <c r="D14" i="8"/>
  <c r="AB23" i="4"/>
  <c r="AA9" i="4"/>
  <c r="K27" i="1" l="1"/>
  <c r="L26" i="1"/>
  <c r="AE19" i="4"/>
  <c r="AE20" i="4"/>
  <c r="AE22" i="4"/>
  <c r="L27" i="1"/>
  <c r="L34" i="1" s="1"/>
  <c r="L35" i="1" s="1"/>
  <c r="L38" i="1" s="1"/>
  <c r="K34" i="1"/>
  <c r="K35" i="1" s="1"/>
  <c r="K38" i="1" s="1"/>
  <c r="AB30" i="4"/>
  <c r="AE23" i="2"/>
  <c r="AE26" i="4"/>
  <c r="E17" i="8"/>
  <c r="AC29" i="4"/>
  <c r="E14" i="8"/>
  <c r="AC23" i="4"/>
  <c r="D21" i="8"/>
  <c r="E3" i="9"/>
  <c r="E5" i="9" s="1"/>
  <c r="E11" i="9" s="1"/>
  <c r="I39" i="1"/>
  <c r="I60" i="7"/>
  <c r="I42" i="1"/>
  <c r="D4" i="8"/>
  <c r="I43" i="1"/>
  <c r="AD23" i="2"/>
  <c r="AD26" i="4"/>
  <c r="F3" i="9"/>
  <c r="F5" i="9" s="1"/>
  <c r="F11" i="9" s="1"/>
  <c r="J43" i="1"/>
  <c r="J42" i="1"/>
  <c r="J60" i="7"/>
  <c r="J39" i="1"/>
  <c r="E4" i="8"/>
  <c r="F27" i="9"/>
  <c r="J28" i="1"/>
  <c r="G27" i="9"/>
  <c r="K28" i="1"/>
  <c r="K26" i="1"/>
  <c r="AD19" i="4"/>
  <c r="AD20" i="4"/>
  <c r="F15" i="8" s="1"/>
  <c r="AD22" i="4"/>
  <c r="F16" i="8" s="1"/>
  <c r="D3" i="9"/>
  <c r="D5" i="9" s="1"/>
  <c r="D11" i="9" s="1"/>
  <c r="H60" i="7"/>
  <c r="H61" i="7" s="1"/>
  <c r="H39" i="1"/>
  <c r="C4" i="8"/>
  <c r="C21" i="8" s="1"/>
  <c r="H43" i="1"/>
  <c r="H42" i="1"/>
  <c r="L50" i="7"/>
  <c r="L54" i="7" s="1"/>
  <c r="AE34" i="4" s="1"/>
  <c r="AD34" i="4"/>
  <c r="AA30" i="4"/>
  <c r="C24" i="8"/>
  <c r="C27" i="8" s="1"/>
  <c r="AA14" i="4"/>
  <c r="J14" i="7"/>
  <c r="J17" i="7" s="1"/>
  <c r="AB9" i="4"/>
  <c r="E21" i="8" l="1"/>
  <c r="H3" i="9"/>
  <c r="H5" i="9" s="1"/>
  <c r="H11" i="9" s="1"/>
  <c r="L39" i="1"/>
  <c r="L42" i="1"/>
  <c r="G4" i="8"/>
  <c r="L43" i="1"/>
  <c r="L60" i="7"/>
  <c r="G3" i="9"/>
  <c r="G5" i="9" s="1"/>
  <c r="G11" i="9" s="1"/>
  <c r="K42" i="1"/>
  <c r="F4" i="8"/>
  <c r="K60" i="7"/>
  <c r="K43" i="1"/>
  <c r="K39" i="1"/>
  <c r="AC30" i="4"/>
  <c r="D22" i="9"/>
  <c r="D23" i="9" s="1"/>
  <c r="D14" i="9"/>
  <c r="I14" i="9" s="1"/>
  <c r="F17" i="8"/>
  <c r="AD29" i="4"/>
  <c r="G15" i="8"/>
  <c r="G16" i="8"/>
  <c r="G14" i="8"/>
  <c r="AE23" i="4"/>
  <c r="AE30" i="4" s="1"/>
  <c r="F14" i="8"/>
  <c r="AD23" i="4"/>
  <c r="AD30" i="4" s="1"/>
  <c r="H27" i="9"/>
  <c r="L28" i="1"/>
  <c r="C35" i="8"/>
  <c r="AA36" i="4"/>
  <c r="AA37" i="4" s="1"/>
  <c r="AA38" i="4" s="1"/>
  <c r="I58" i="7"/>
  <c r="I61" i="7" s="1"/>
  <c r="F22" i="9"/>
  <c r="F23" i="9" s="1"/>
  <c r="F16" i="9"/>
  <c r="I16" i="9" s="1"/>
  <c r="E15" i="9"/>
  <c r="I15" i="9" s="1"/>
  <c r="E22" i="9"/>
  <c r="E23" i="9" s="1"/>
  <c r="G17" i="8"/>
  <c r="AE29" i="4"/>
  <c r="AA5" i="4"/>
  <c r="D24" i="9" s="1"/>
  <c r="C4" i="10"/>
  <c r="C6" i="10" s="1"/>
  <c r="C11" i="10" s="1"/>
  <c r="D24" i="8"/>
  <c r="D27" i="8" s="1"/>
  <c r="D35" i="8" s="1"/>
  <c r="AB14" i="4"/>
  <c r="K14" i="7"/>
  <c r="K17" i="7" s="1"/>
  <c r="AC9" i="4"/>
  <c r="F21" i="8" l="1"/>
  <c r="G21" i="8"/>
  <c r="G17" i="9"/>
  <c r="I17" i="9" s="1"/>
  <c r="G22" i="9"/>
  <c r="G23" i="9" s="1"/>
  <c r="J58" i="7"/>
  <c r="J61" i="7" s="1"/>
  <c r="AB36" i="4"/>
  <c r="AB37" i="4" s="1"/>
  <c r="AB38" i="4" s="1"/>
  <c r="D25" i="9"/>
  <c r="D26" i="9" s="1"/>
  <c r="D32" i="9" s="1"/>
  <c r="D35" i="9" s="1"/>
  <c r="I35" i="9" s="1"/>
  <c r="H18" i="9"/>
  <c r="I18" i="9" s="1"/>
  <c r="H22" i="9"/>
  <c r="H23" i="9" s="1"/>
  <c r="AB5" i="4"/>
  <c r="E24" i="9" s="1"/>
  <c r="E25" i="9" s="1"/>
  <c r="D4" i="10"/>
  <c r="D6" i="10" s="1"/>
  <c r="D11" i="10" s="1"/>
  <c r="E24" i="8"/>
  <c r="E27" i="8" s="1"/>
  <c r="E35" i="8" s="1"/>
  <c r="AC14" i="4"/>
  <c r="L14" i="7"/>
  <c r="L17" i="7" s="1"/>
  <c r="AE9" i="4" s="1"/>
  <c r="AD9" i="4"/>
  <c r="AA8" i="4"/>
  <c r="AA15" i="4" s="1"/>
  <c r="K58" i="7" l="1"/>
  <c r="K61" i="7" s="1"/>
  <c r="AC36" i="4"/>
  <c r="AC37" i="4" s="1"/>
  <c r="AC38" i="4" s="1"/>
  <c r="AB8" i="4"/>
  <c r="AB15" i="4" s="1"/>
  <c r="AB40" i="4" s="1"/>
  <c r="D28" i="9"/>
  <c r="AC5" i="4"/>
  <c r="E4" i="10"/>
  <c r="E6" i="10" s="1"/>
  <c r="E11" i="10" s="1"/>
  <c r="E26" i="9"/>
  <c r="E32" i="9" s="1"/>
  <c r="E36" i="9" s="1"/>
  <c r="I36" i="9" s="1"/>
  <c r="E28" i="9"/>
  <c r="AE14" i="4"/>
  <c r="G24" i="8"/>
  <c r="G27" i="8" s="1"/>
  <c r="G35" i="8" s="1"/>
  <c r="G4" i="10" s="1"/>
  <c r="G6" i="10" s="1"/>
  <c r="F24" i="8"/>
  <c r="F27" i="8" s="1"/>
  <c r="F35" i="8" s="1"/>
  <c r="AD14" i="4"/>
  <c r="AD36" i="4" l="1"/>
  <c r="AD37" i="4" s="1"/>
  <c r="AD38" i="4" s="1"/>
  <c r="L58" i="7"/>
  <c r="L61" i="7" s="1"/>
  <c r="AE36" i="4" s="1"/>
  <c r="AE37" i="4" s="1"/>
  <c r="AE38" i="4" s="1"/>
  <c r="C18" i="10"/>
  <c r="C19" i="10" s="1"/>
  <c r="G11" i="10"/>
  <c r="AD5" i="4"/>
  <c r="F4" i="10"/>
  <c r="F6" i="10" s="1"/>
  <c r="F11" i="10" s="1"/>
  <c r="AC8" i="4"/>
  <c r="AC15" i="4" s="1"/>
  <c r="AC40" i="4" s="1"/>
  <c r="F24" i="9"/>
  <c r="F25" i="9" s="1"/>
  <c r="AA40" i="4"/>
  <c r="C20" i="10" l="1"/>
  <c r="C22" i="10" s="1"/>
  <c r="AD8" i="4"/>
  <c r="AD15" i="4" s="1"/>
  <c r="AD40" i="4" s="1"/>
  <c r="G24" i="9"/>
  <c r="G25" i="9" s="1"/>
  <c r="F26" i="9"/>
  <c r="F32" i="9" s="1"/>
  <c r="F37" i="9" s="1"/>
  <c r="I37" i="9" s="1"/>
  <c r="F28" i="9"/>
  <c r="AE5" i="4"/>
  <c r="AE8" i="4" l="1"/>
  <c r="AE15" i="4" s="1"/>
  <c r="AE40" i="4" s="1"/>
  <c r="H24" i="9"/>
  <c r="H25" i="9" s="1"/>
  <c r="G28" i="9"/>
  <c r="G26" i="9"/>
  <c r="G32" i="9" s="1"/>
  <c r="G38" i="9" s="1"/>
  <c r="I38" i="9" s="1"/>
  <c r="H26" i="9" l="1"/>
  <c r="H32" i="9" s="1"/>
  <c r="H39" i="9" s="1"/>
  <c r="I39" i="9" s="1"/>
  <c r="H28" i="9"/>
</calcChain>
</file>

<file path=xl/sharedStrings.xml><?xml version="1.0" encoding="utf-8"?>
<sst xmlns="http://schemas.openxmlformats.org/spreadsheetml/2006/main" count="514" uniqueCount="283">
  <si>
    <t>Actual</t>
  </si>
  <si>
    <t>Expected</t>
  </si>
  <si>
    <t>REVENUE</t>
  </si>
  <si>
    <t>Total revenue</t>
  </si>
  <si>
    <t>OPERATING EXPENSES</t>
  </si>
  <si>
    <t>COGS</t>
  </si>
  <si>
    <t>Total Operating Expense</t>
  </si>
  <si>
    <t>EBIT</t>
  </si>
  <si>
    <t>EBIT Margin</t>
  </si>
  <si>
    <t>OTHER INCOME (EXPENSE)</t>
  </si>
  <si>
    <t>Interest expense</t>
  </si>
  <si>
    <t>INCOME BEFORE INCOME TAXES (EBT)</t>
  </si>
  <si>
    <t>Net Income Margin</t>
  </si>
  <si>
    <t>Basic</t>
  </si>
  <si>
    <t>Diluted</t>
  </si>
  <si>
    <t>Shares used in calculation (000’s)</t>
  </si>
  <si>
    <t>2025Q1</t>
  </si>
  <si>
    <t>Service Revenue</t>
  </si>
  <si>
    <t>Custodial Revenue</t>
  </si>
  <si>
    <t>Interchange Revenue</t>
  </si>
  <si>
    <t>Service Costs</t>
  </si>
  <si>
    <t>Custodial Costs</t>
  </si>
  <si>
    <t>Interchange Costs</t>
  </si>
  <si>
    <t>Total COGS</t>
  </si>
  <si>
    <t>Sales and marketing</t>
  </si>
  <si>
    <t>Technology and development</t>
  </si>
  <si>
    <t>General and administrative</t>
  </si>
  <si>
    <t>Gross profit</t>
  </si>
  <si>
    <t>Amortization of acquired intangible assets</t>
  </si>
  <si>
    <t>Merger Integration</t>
  </si>
  <si>
    <t>Other income, net</t>
  </si>
  <si>
    <t>Total other expense</t>
  </si>
  <si>
    <t>Provision for income taxes (benefit)</t>
  </si>
  <si>
    <t>NET INCOME ATTRIBUTABLE TO HQY</t>
  </si>
  <si>
    <t>Income Statement- USD($) and shares in thousands</t>
  </si>
  <si>
    <t>Gross profit margin</t>
  </si>
  <si>
    <t>x</t>
  </si>
  <si>
    <t>NET INCOME PER COMMON SHARE ATTRIBUTABLE TO HQY:</t>
  </si>
  <si>
    <t>Revenue Growth (Y/Y or Q/Q)</t>
  </si>
  <si>
    <t>OpEx Growth</t>
  </si>
  <si>
    <t>2025Q2</t>
  </si>
  <si>
    <t>2022 Q1</t>
  </si>
  <si>
    <t>2022 Q3</t>
  </si>
  <si>
    <t>2022 Q2</t>
  </si>
  <si>
    <t>2022 Q4</t>
  </si>
  <si>
    <t>2023 Q1</t>
  </si>
  <si>
    <t>2023 Q2</t>
  </si>
  <si>
    <t>2023 Q3</t>
  </si>
  <si>
    <t>2023 Q4</t>
  </si>
  <si>
    <t>2021 Q1</t>
  </si>
  <si>
    <t>2021 Q2</t>
  </si>
  <si>
    <t>2021 Q3</t>
  </si>
  <si>
    <t>2021 Q4</t>
  </si>
  <si>
    <t>2024 Q1</t>
  </si>
  <si>
    <t>2024 Q2</t>
  </si>
  <si>
    <t>2024 Q3</t>
  </si>
  <si>
    <t>2024 Q4</t>
  </si>
  <si>
    <t>Revenue Growth (Q/Q)</t>
  </si>
  <si>
    <t>Gross profit margin growth</t>
  </si>
  <si>
    <t>Expense Build- USD($) and shares in thousands</t>
  </si>
  <si>
    <t>Operating Expenses:</t>
  </si>
  <si>
    <t>Total Operating Expenses:</t>
  </si>
  <si>
    <t>Non-operating Expenses:</t>
  </si>
  <si>
    <t>Total Non-operating Expenses:</t>
  </si>
  <si>
    <t>Total Expenses:</t>
  </si>
  <si>
    <t>Interest expense (negative is expense)</t>
  </si>
  <si>
    <t>Other income, net (negative is expense)</t>
  </si>
  <si>
    <t>Expense Build Drivers:</t>
  </si>
  <si>
    <t>Interchange Cost - % of interchange revenue</t>
  </si>
  <si>
    <t>Custodial Costs - % of custodial revenue</t>
  </si>
  <si>
    <t>Service Costs - % of service revenue</t>
  </si>
  <si>
    <t>COGS Drivers:</t>
  </si>
  <si>
    <t>Operating Expense Drivers:</t>
  </si>
  <si>
    <t>Sales &amp; Marketing - % of Revenue</t>
  </si>
  <si>
    <t>Technology &amp; Development – % of Revenue</t>
  </si>
  <si>
    <t>General &amp; Administrative – % of Revenue</t>
  </si>
  <si>
    <t>Amortization of Acquired Intangibles – % of Revenue</t>
  </si>
  <si>
    <t>Non-Operating Expense Drivers:</t>
  </si>
  <si>
    <t xml:space="preserve">Interest Expense (Income) – % of Debt </t>
  </si>
  <si>
    <t>Provision for Income Taxes (Benefit) – Effective Tax Rate</t>
  </si>
  <si>
    <t>Assets</t>
  </si>
  <si>
    <t>Current assets</t>
  </si>
  <si>
    <t>Cash and cash equivalents</t>
  </si>
  <si>
    <t>Total current assets</t>
  </si>
  <si>
    <t>Property and equipment, net</t>
  </si>
  <si>
    <t>Operating lease right-of-use assets</t>
  </si>
  <si>
    <t>Intangible assets, net</t>
  </si>
  <si>
    <t>Goodwill</t>
  </si>
  <si>
    <t>Other assets</t>
  </si>
  <si>
    <t>Total assets</t>
  </si>
  <si>
    <t>Liabilities and stockholders’ equity</t>
  </si>
  <si>
    <t>Current liabilities</t>
  </si>
  <si>
    <t>Accounts payable</t>
  </si>
  <si>
    <t>Accrued compensation</t>
  </si>
  <si>
    <t>Accrued liabilities</t>
  </si>
  <si>
    <t>Current portion of long-term debt</t>
  </si>
  <si>
    <t>Operating lease liabilities</t>
  </si>
  <si>
    <t>Total current liabilities</t>
  </si>
  <si>
    <t>Long-term liabilities</t>
  </si>
  <si>
    <t>Long-term debt, net</t>
  </si>
  <si>
    <t>Operating lease liabilities, non-current</t>
  </si>
  <si>
    <t>Other long-term liabilities</t>
  </si>
  <si>
    <t>Deferred tax liability</t>
  </si>
  <si>
    <t>Total long-term liabilities</t>
  </si>
  <si>
    <t>Total liabilities</t>
  </si>
  <si>
    <t>Stockholders’ equity</t>
  </si>
  <si>
    <t>Additional paid-in capital</t>
  </si>
  <si>
    <t>Accumulated earnings</t>
  </si>
  <si>
    <t>Total stockholders’ equity</t>
  </si>
  <si>
    <t>Total liabilities and stockholders’ equity</t>
  </si>
  <si>
    <t xml:space="preserve">Accounts receivable, net </t>
  </si>
  <si>
    <t>Preferred stock,</t>
  </si>
  <si>
    <t>Common stock,</t>
  </si>
  <si>
    <t>Accumulated Other Comprehensive Earnings</t>
  </si>
  <si>
    <t>—</t>
  </si>
  <si>
    <t>CHECK</t>
  </si>
  <si>
    <t>2025E</t>
  </si>
  <si>
    <t>Estimated</t>
  </si>
  <si>
    <t>2022A</t>
  </si>
  <si>
    <t>2023A</t>
  </si>
  <si>
    <t>2024A</t>
  </si>
  <si>
    <t>2026E</t>
  </si>
  <si>
    <t>2027E</t>
  </si>
  <si>
    <t>2028E</t>
  </si>
  <si>
    <t>2029E</t>
  </si>
  <si>
    <t>Total Revenue</t>
  </si>
  <si>
    <t>2021A</t>
  </si>
  <si>
    <t>2020A</t>
  </si>
  <si>
    <t>Revenue Drivers</t>
  </si>
  <si>
    <t>Accounts</t>
  </si>
  <si>
    <t>HSAs</t>
  </si>
  <si>
    <t>CDBs</t>
  </si>
  <si>
    <t>HSA Assets</t>
  </si>
  <si>
    <t>Totals</t>
  </si>
  <si>
    <t>Cash</t>
  </si>
  <si>
    <t>Investments</t>
  </si>
  <si>
    <t>Total Assets</t>
  </si>
  <si>
    <t>Cash growth rate</t>
  </si>
  <si>
    <t>cash per account</t>
  </si>
  <si>
    <t>investment per account</t>
  </si>
  <si>
    <t>growth rate</t>
  </si>
  <si>
    <t xml:space="preserve"> Total Revenue </t>
  </si>
  <si>
    <t>% Service Revenue</t>
  </si>
  <si>
    <t>% Custodial Revenue</t>
  </si>
  <si>
    <t>% Interchange Revenue</t>
  </si>
  <si>
    <t>Interchange revenue</t>
  </si>
  <si>
    <t>2025Q3</t>
  </si>
  <si>
    <t>Change in diluted shares</t>
  </si>
  <si>
    <t>Prepaid expenses and Other current assets</t>
  </si>
  <si>
    <t>Other Custodial Revenues</t>
  </si>
  <si>
    <t>Average Annualized Yield on HSA Cash</t>
  </si>
  <si>
    <t>Average Daily HSA Cash During Period</t>
  </si>
  <si>
    <t>Average Daily Client-Held Funds During Period</t>
  </si>
  <si>
    <t>Average Annualized Fee on HSA Investments</t>
  </si>
  <si>
    <t>% of Total HSA Cash</t>
  </si>
  <si>
    <t>% of Total HSA Investments</t>
  </si>
  <si>
    <t>Growth Rate</t>
  </si>
  <si>
    <t xml:space="preserve">Service Revenue Per Acct. </t>
  </si>
  <si>
    <t>Total HSA Accounts (Equity Research)</t>
  </si>
  <si>
    <t>HQY HSA Market Share (%)</t>
  </si>
  <si>
    <t>% growth rate</t>
  </si>
  <si>
    <t>(+)</t>
  </si>
  <si>
    <t>(-)</t>
  </si>
  <si>
    <t>Spend per account</t>
  </si>
  <si>
    <t>Investments growth rate</t>
  </si>
  <si>
    <t>% Cash</t>
  </si>
  <si>
    <t>% Investment</t>
  </si>
  <si>
    <t>Estimtated Custodial Revs. From Yield On Cash (~94.5% of Custodial rev.)</t>
  </si>
  <si>
    <t>Total Custodial Revenues</t>
  </si>
  <si>
    <t>Receivables, net - % of revenue</t>
  </si>
  <si>
    <t>Prepaid expenses &amp; other current assets – % of revenue</t>
  </si>
  <si>
    <t>Operating lease ROU assets – % of revenue</t>
  </si>
  <si>
    <t>Other assets - % of revenue</t>
  </si>
  <si>
    <t>PPE</t>
  </si>
  <si>
    <t>BOY PPE</t>
  </si>
  <si>
    <t>Plus: Capex</t>
  </si>
  <si>
    <t>Less: Depreciation Expense</t>
  </si>
  <si>
    <t>EOY PPE</t>
  </si>
  <si>
    <t>depreciation % of rev</t>
  </si>
  <si>
    <t>capex as % rev</t>
  </si>
  <si>
    <t>Balance Sheet - USD($) in thousands</t>
  </si>
  <si>
    <t>Intangible assets</t>
  </si>
  <si>
    <t>Intangible assets, gross</t>
  </si>
  <si>
    <t>Amortization expense</t>
  </si>
  <si>
    <t>From 10k</t>
  </si>
  <si>
    <t>Less: Accumulated amortization</t>
  </si>
  <si>
    <t>from IS</t>
  </si>
  <si>
    <t>Liabilities</t>
  </si>
  <si>
    <t>Accounts Payable - % of COGS</t>
  </si>
  <si>
    <t>Accrued compensation - % of OpEx</t>
  </si>
  <si>
    <t>Accrued liabilies -  % of OpEx</t>
  </si>
  <si>
    <t>Current</t>
  </si>
  <si>
    <t>Long-term</t>
  </si>
  <si>
    <t>Long-term debt, net - % of rev</t>
  </si>
  <si>
    <t>Other long-term liabilities - % of rev</t>
  </si>
  <si>
    <t>Current operating lease liabilities - % of OpEx</t>
  </si>
  <si>
    <t>Operating lease liabilities, non-current - % of OpEx</t>
  </si>
  <si>
    <t>Deferred Tax Liability - % of rev</t>
  </si>
  <si>
    <t>Shareholder's Equity</t>
  </si>
  <si>
    <t>BOY APIC</t>
  </si>
  <si>
    <t>Plus: SBC</t>
  </si>
  <si>
    <t>EOY: APIC</t>
  </si>
  <si>
    <t>SBC - % of Revenue</t>
  </si>
  <si>
    <t>BOY Retained Earnings</t>
  </si>
  <si>
    <t>Plus: Net Income</t>
  </si>
  <si>
    <t>EOY Retained Earnings</t>
  </si>
  <si>
    <t>Plus: issuance of common stock</t>
  </si>
  <si>
    <t>Less: share repurchases</t>
  </si>
  <si>
    <t>Less: Repurchase of common stock</t>
  </si>
  <si>
    <t>Effective tax rate</t>
  </si>
  <si>
    <t>consensus effective tax rates</t>
  </si>
  <si>
    <t>Total assets, non-current</t>
  </si>
  <si>
    <t>Other income, net - % of rev</t>
  </si>
  <si>
    <t>Operating Activities</t>
  </si>
  <si>
    <t>Net Income</t>
  </si>
  <si>
    <t>Plus: Depreciation and Amortization</t>
  </si>
  <si>
    <t>Changes in operating assets and liabilities:</t>
  </si>
  <si>
    <t>Cash from operating activities</t>
  </si>
  <si>
    <t>Investing Activities:</t>
  </si>
  <si>
    <t>Capex</t>
  </si>
  <si>
    <t>Cash from investing activities</t>
  </si>
  <si>
    <t>Financing Activities:</t>
  </si>
  <si>
    <t>Long term debt</t>
  </si>
  <si>
    <t>Cash from financing activities</t>
  </si>
  <si>
    <t>Net Change in Cash</t>
  </si>
  <si>
    <t>IRR</t>
  </si>
  <si>
    <t>Shares</t>
  </si>
  <si>
    <t>EPS</t>
  </si>
  <si>
    <t>Current Price</t>
  </si>
  <si>
    <t>Current P/E</t>
  </si>
  <si>
    <t>Implied Price</t>
  </si>
  <si>
    <t>Returns Analysis</t>
  </si>
  <si>
    <t>EV/EBITDA IRR</t>
  </si>
  <si>
    <t>Price per share</t>
  </si>
  <si>
    <t>Market cap</t>
  </si>
  <si>
    <t>Net debt</t>
  </si>
  <si>
    <t>EV</t>
  </si>
  <si>
    <t>EBITDA</t>
  </si>
  <si>
    <t>Multiple</t>
  </si>
  <si>
    <t>Terminal Assumption</t>
  </si>
  <si>
    <t>Valuation date</t>
  </si>
  <si>
    <t>FY End</t>
  </si>
  <si>
    <t>Terminal Growth Rate</t>
  </si>
  <si>
    <t>FCFE</t>
  </si>
  <si>
    <t>Capital Asset Pricing Model</t>
  </si>
  <si>
    <t>Cost of Equity</t>
  </si>
  <si>
    <t>Risk Free rate</t>
  </si>
  <si>
    <t>Discount Factor</t>
  </si>
  <si>
    <t>Beta</t>
  </si>
  <si>
    <t>PV of FCFE</t>
  </si>
  <si>
    <t>Expected Market Return</t>
  </si>
  <si>
    <t>Current Valuation</t>
  </si>
  <si>
    <t>Terminal Valuation</t>
  </si>
  <si>
    <t>PV of TV</t>
  </si>
  <si>
    <t>PV of Equity</t>
  </si>
  <si>
    <t>Diluted Shares</t>
  </si>
  <si>
    <t>share price</t>
  </si>
  <si>
    <t>HQY DCF</t>
  </si>
  <si>
    <t>Implied EV</t>
  </si>
  <si>
    <t>Terminal P/E</t>
  </si>
  <si>
    <t>Dividends</t>
  </si>
  <si>
    <t>Ke</t>
  </si>
  <si>
    <t>Key Metrics</t>
  </si>
  <si>
    <t>Revenue</t>
  </si>
  <si>
    <t>$1.199 B</t>
  </si>
  <si>
    <t>Gross Margin</t>
  </si>
  <si>
    <t>$212.91 M</t>
  </si>
  <si>
    <t>EV/EBITDA</t>
  </si>
  <si>
    <t>Stock Details</t>
  </si>
  <si>
    <t>YTD%</t>
  </si>
  <si>
    <t>52wk (High/low)</t>
  </si>
  <si>
    <t>$117/$74</t>
  </si>
  <si>
    <t># of Shares</t>
  </si>
  <si>
    <t>88.8M</t>
  </si>
  <si>
    <t>Statement of Cash Flows - USD($) in thousands</t>
  </si>
  <si>
    <t>Revenue Build - USD ($) in thousands</t>
  </si>
  <si>
    <t>Balance Sheet Build- USD($) in thousands</t>
  </si>
  <si>
    <t>Ticker</t>
  </si>
  <si>
    <t>Date</t>
  </si>
  <si>
    <t>Premium (Discount)</t>
  </si>
  <si>
    <t>Recommendation</t>
  </si>
  <si>
    <t>BUY</t>
  </si>
  <si>
    <t>HQY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</si>
</sst>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\A"/>
    <numFmt numFmtId="165" formatCode="#\E"/>
    <numFmt numFmtId="166" formatCode="0.0%"/>
    <numFmt numFmtId="167" formatCode="_(* #,##0.00_);_(* \(#,##0.00\);_(* &quot;-&quot;_);_(@_)"/>
    <numFmt numFmtId="168" formatCode="_(* #,##0.000_);_(* \(#,##0.000\);_(* &quot;-&quot;_);_(@_)"/>
    <numFmt numFmtId="169" formatCode="#,##0.0"/>
    <numFmt numFmtId="170" formatCode="_(* #,##0.0000_);_(* \(#,##0.0000\);_(* &quot;-&quot;_);_(@_)"/>
    <numFmt numFmtId="171" formatCode="_(* #,##0_);_(* \(#,##0\);_(* &quot;-&quot;??_);_(@_)"/>
    <numFmt numFmtId="172" formatCode="#.0\x"/>
  </numFmts>
  <fonts count="4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7"/>
      <name val="Arial"/>
      <family val="2"/>
    </font>
    <font>
      <sz val="11"/>
      <color theme="9"/>
      <name val="Arial"/>
      <family val="2"/>
    </font>
    <font>
      <u/>
      <sz val="11"/>
      <color theme="1"/>
      <name val="Arial"/>
      <family val="2"/>
    </font>
    <font>
      <sz val="11"/>
      <color rgb="FF212529"/>
      <name val="Arial"/>
      <family val="2"/>
    </font>
    <font>
      <sz val="11"/>
      <color rgb="FF00B050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FFFFFF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F9ED5"/>
      <name val="Arial"/>
      <family val="2"/>
    </font>
    <font>
      <b/>
      <sz val="12"/>
      <color theme="0"/>
      <name val="Aptos Narrow"/>
      <scheme val="minor"/>
    </font>
    <font>
      <sz val="12"/>
      <color theme="9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4EA72E"/>
      <name val="Aptos Narrow"/>
      <family val="2"/>
      <scheme val="minor"/>
    </font>
    <font>
      <b/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sz val="12"/>
      <color rgb="FF000000"/>
      <name val="Aptos Display"/>
      <charset val="1"/>
    </font>
    <font>
      <sz val="12"/>
      <color rgb="FF000000"/>
      <name val="Helvetica"/>
      <family val="2"/>
    </font>
    <font>
      <sz val="12"/>
      <color theme="0"/>
      <name val="Aptos Narrow"/>
      <family val="2"/>
      <scheme val="minor"/>
    </font>
    <font>
      <b/>
      <sz val="11"/>
      <color theme="7"/>
      <name val="Arial"/>
      <family val="2"/>
    </font>
    <font>
      <sz val="11"/>
      <color theme="1" tint="4.9989318521683403E-2"/>
      <name val="Arial"/>
      <family val="2"/>
    </font>
    <font>
      <sz val="12"/>
      <color theme="1"/>
      <name val="Aptos Narrow"/>
      <scheme val="minor"/>
    </font>
    <font>
      <sz val="12"/>
      <color theme="7"/>
      <name val="Aptos Narrow"/>
      <scheme val="minor"/>
    </font>
    <font>
      <b/>
      <sz val="12"/>
      <color theme="7"/>
      <name val="Aptos Narrow"/>
      <scheme val="minor"/>
    </font>
    <font>
      <sz val="12"/>
      <color rgb="FF00B050"/>
      <name val="Aptos Narrow"/>
      <family val="2"/>
      <scheme val="minor"/>
    </font>
    <font>
      <sz val="11"/>
      <color theme="0"/>
      <name val="Aptos Narrow"/>
      <scheme val="minor"/>
    </font>
    <font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12C86"/>
        <bgColor indexed="64"/>
      </patternFill>
    </fill>
    <fill>
      <patternFill patternType="solid">
        <fgColor rgb="FF612C86"/>
        <bgColor rgb="FF000000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27">
    <xf numFmtId="0" fontId="0" fillId="0" borderId="0" xfId="0"/>
    <xf numFmtId="0" fontId="3" fillId="0" borderId="0" xfId="0" applyFont="1"/>
    <xf numFmtId="3" fontId="3" fillId="0" borderId="0" xfId="0" applyNumberFormat="1" applyFont="1"/>
    <xf numFmtId="166" fontId="3" fillId="0" borderId="0" xfId="2" applyNumberFormat="1" applyFont="1"/>
    <xf numFmtId="0" fontId="5" fillId="0" borderId="0" xfId="0" applyFont="1"/>
    <xf numFmtId="41" fontId="6" fillId="2" borderId="0" xfId="0" applyNumberFormat="1" applyFont="1" applyFill="1"/>
    <xf numFmtId="41" fontId="7" fillId="2" borderId="0" xfId="0" applyNumberFormat="1" applyFont="1" applyFill="1"/>
    <xf numFmtId="2" fontId="7" fillId="2" borderId="0" xfId="0" applyNumberFormat="1" applyFont="1" applyFill="1"/>
    <xf numFmtId="1" fontId="7" fillId="2" borderId="0" xfId="0" applyNumberFormat="1" applyFont="1" applyFill="1"/>
    <xf numFmtId="164" fontId="7" fillId="2" borderId="0" xfId="0" applyNumberFormat="1" applyFont="1" applyFill="1"/>
    <xf numFmtId="0" fontId="6" fillId="2" borderId="0" xfId="0" applyFont="1" applyFill="1" applyAlignment="1">
      <alignment horizontal="center"/>
    </xf>
    <xf numFmtId="41" fontId="5" fillId="0" borderId="0" xfId="0" applyNumberFormat="1" applyFont="1"/>
    <xf numFmtId="41" fontId="8" fillId="0" borderId="1" xfId="0" applyNumberFormat="1" applyFont="1" applyBorder="1"/>
    <xf numFmtId="41" fontId="8" fillId="0" borderId="0" xfId="0" applyNumberFormat="1" applyFont="1"/>
    <xf numFmtId="166" fontId="5" fillId="0" borderId="0" xfId="2" applyNumberFormat="1" applyFont="1"/>
    <xf numFmtId="166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9" fontId="5" fillId="0" borderId="0" xfId="2" applyFont="1"/>
    <xf numFmtId="0" fontId="8" fillId="0" borderId="0" xfId="0" applyFont="1"/>
    <xf numFmtId="3" fontId="8" fillId="0" borderId="3" xfId="0" applyNumberFormat="1" applyFont="1" applyBorder="1"/>
    <xf numFmtId="0" fontId="5" fillId="0" borderId="4" xfId="0" applyFont="1" applyBorder="1"/>
    <xf numFmtId="0" fontId="9" fillId="0" borderId="0" xfId="0" applyFont="1"/>
    <xf numFmtId="41" fontId="3" fillId="0" borderId="0" xfId="0" applyNumberFormat="1" applyFont="1"/>
    <xf numFmtId="43" fontId="5" fillId="0" borderId="0" xfId="0" applyNumberFormat="1" applyFont="1"/>
    <xf numFmtId="3" fontId="8" fillId="0" borderId="2" xfId="0" applyNumberFormat="1" applyFont="1" applyBorder="1"/>
    <xf numFmtId="3" fontId="9" fillId="0" borderId="2" xfId="0" applyNumberFormat="1" applyFont="1" applyBorder="1"/>
    <xf numFmtId="3" fontId="8" fillId="0" borderId="0" xfId="0" applyNumberFormat="1" applyFont="1"/>
    <xf numFmtId="3" fontId="9" fillId="0" borderId="0" xfId="0" applyNumberFormat="1" applyFont="1"/>
    <xf numFmtId="3" fontId="4" fillId="0" borderId="0" xfId="0" applyNumberFormat="1" applyFont="1"/>
    <xf numFmtId="166" fontId="4" fillId="0" borderId="0" xfId="2" applyNumberFormat="1" applyFont="1" applyBorder="1"/>
    <xf numFmtId="169" fontId="5" fillId="0" borderId="0" xfId="0" applyNumberFormat="1" applyFont="1"/>
    <xf numFmtId="9" fontId="5" fillId="0" borderId="0" xfId="2" applyFont="1" applyBorder="1"/>
    <xf numFmtId="166" fontId="5" fillId="0" borderId="0" xfId="2" applyNumberFormat="1" applyFont="1" applyBorder="1"/>
    <xf numFmtId="166" fontId="10" fillId="0" borderId="0" xfId="2" applyNumberFormat="1" applyFont="1" applyBorder="1"/>
    <xf numFmtId="166" fontId="10" fillId="0" borderId="0" xfId="2" applyNumberFormat="1" applyFont="1"/>
    <xf numFmtId="0" fontId="8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3" fontId="3" fillId="0" borderId="9" xfId="0" applyNumberFormat="1" applyFont="1" applyBorder="1"/>
    <xf numFmtId="0" fontId="10" fillId="0" borderId="8" xfId="0" applyFont="1" applyBorder="1" applyAlignment="1">
      <alignment horizontal="left" indent="1"/>
    </xf>
    <xf numFmtId="166" fontId="10" fillId="0" borderId="9" xfId="2" applyNumberFormat="1" applyFont="1" applyBorder="1"/>
    <xf numFmtId="0" fontId="5" fillId="0" borderId="9" xfId="0" applyFont="1" applyBorder="1"/>
    <xf numFmtId="41" fontId="8" fillId="0" borderId="8" xfId="0" applyNumberFormat="1" applyFont="1" applyBorder="1"/>
    <xf numFmtId="0" fontId="3" fillId="0" borderId="8" xfId="0" applyFont="1" applyBorder="1"/>
    <xf numFmtId="0" fontId="4" fillId="0" borderId="8" xfId="0" applyFont="1" applyBorder="1" applyAlignment="1">
      <alignment horizontal="left" indent="1"/>
    </xf>
    <xf numFmtId="0" fontId="4" fillId="0" borderId="0" xfId="0" applyFont="1"/>
    <xf numFmtId="166" fontId="3" fillId="0" borderId="0" xfId="2" applyNumberFormat="1" applyFont="1" applyBorder="1"/>
    <xf numFmtId="166" fontId="3" fillId="0" borderId="9" xfId="2" applyNumberFormat="1" applyFont="1" applyBorder="1"/>
    <xf numFmtId="0" fontId="8" fillId="0" borderId="10" xfId="0" applyFont="1" applyBorder="1"/>
    <xf numFmtId="3" fontId="9" fillId="0" borderId="11" xfId="0" applyNumberFormat="1" applyFont="1" applyBorder="1"/>
    <xf numFmtId="3" fontId="9" fillId="0" borderId="9" xfId="0" applyNumberFormat="1" applyFont="1" applyBorder="1"/>
    <xf numFmtId="0" fontId="8" fillId="0" borderId="8" xfId="0" applyFont="1" applyBorder="1"/>
    <xf numFmtId="0" fontId="10" fillId="0" borderId="12" xfId="0" applyFont="1" applyBorder="1" applyAlignment="1">
      <alignment horizontal="left" indent="1"/>
    </xf>
    <xf numFmtId="169" fontId="5" fillId="0" borderId="4" xfId="0" applyNumberFormat="1" applyFont="1" applyBorder="1"/>
    <xf numFmtId="166" fontId="10" fillId="0" borderId="4" xfId="2" applyNumberFormat="1" applyFont="1" applyBorder="1"/>
    <xf numFmtId="0" fontId="11" fillId="0" borderId="8" xfId="0" applyFont="1" applyBorder="1"/>
    <xf numFmtId="166" fontId="11" fillId="0" borderId="0" xfId="2" applyNumberFormat="1" applyFont="1" applyBorder="1"/>
    <xf numFmtId="166" fontId="11" fillId="0" borderId="9" xfId="2" applyNumberFormat="1" applyFont="1" applyBorder="1"/>
    <xf numFmtId="0" fontId="10" fillId="0" borderId="0" xfId="0" applyFont="1"/>
    <xf numFmtId="166" fontId="4" fillId="0" borderId="9" xfId="2" applyNumberFormat="1" applyFont="1" applyBorder="1"/>
    <xf numFmtId="10" fontId="4" fillId="0" borderId="0" xfId="2" applyNumberFormat="1" applyFont="1" applyBorder="1"/>
    <xf numFmtId="10" fontId="4" fillId="0" borderId="13" xfId="2" applyNumberFormat="1" applyFont="1" applyBorder="1"/>
    <xf numFmtId="166" fontId="3" fillId="0" borderId="4" xfId="2" applyNumberFormat="1" applyFont="1" applyBorder="1"/>
    <xf numFmtId="166" fontId="4" fillId="0" borderId="4" xfId="2" applyNumberFormat="1" applyFont="1" applyBorder="1"/>
    <xf numFmtId="166" fontId="3" fillId="0" borderId="4" xfId="0" applyNumberFormat="1" applyFont="1" applyBorder="1"/>
    <xf numFmtId="166" fontId="3" fillId="0" borderId="13" xfId="0" applyNumberFormat="1" applyFont="1" applyBorder="1"/>
    <xf numFmtId="169" fontId="3" fillId="0" borderId="0" xfId="0" applyNumberFormat="1" applyFont="1"/>
    <xf numFmtId="169" fontId="3" fillId="0" borderId="9" xfId="0" applyNumberFormat="1" applyFont="1" applyBorder="1"/>
    <xf numFmtId="41" fontId="9" fillId="0" borderId="0" xfId="0" applyNumberFormat="1" applyFont="1"/>
    <xf numFmtId="41" fontId="4" fillId="0" borderId="0" xfId="0" applyNumberFormat="1" applyFont="1"/>
    <xf numFmtId="9" fontId="5" fillId="0" borderId="0" xfId="0" applyNumberFormat="1" applyFont="1"/>
    <xf numFmtId="0" fontId="3" fillId="0" borderId="5" xfId="0" applyFont="1" applyBorder="1"/>
    <xf numFmtId="166" fontId="5" fillId="0" borderId="6" xfId="2" applyNumberFormat="1" applyFont="1" applyBorder="1"/>
    <xf numFmtId="2" fontId="5" fillId="0" borderId="0" xfId="2" applyNumberFormat="1" applyFont="1" applyBorder="1"/>
    <xf numFmtId="2" fontId="5" fillId="0" borderId="9" xfId="2" applyNumberFormat="1" applyFont="1" applyBorder="1"/>
    <xf numFmtId="170" fontId="8" fillId="0" borderId="0" xfId="0" applyNumberFormat="1" applyFont="1"/>
    <xf numFmtId="0" fontId="8" fillId="0" borderId="14" xfId="0" applyFont="1" applyBorder="1"/>
    <xf numFmtId="3" fontId="8" fillId="0" borderId="15" xfId="0" applyNumberFormat="1" applyFont="1" applyBorder="1"/>
    <xf numFmtId="3" fontId="5" fillId="0" borderId="9" xfId="0" applyNumberFormat="1" applyFont="1" applyBorder="1"/>
    <xf numFmtId="9" fontId="10" fillId="0" borderId="0" xfId="2" applyFont="1" applyBorder="1"/>
    <xf numFmtId="9" fontId="10" fillId="0" borderId="9" xfId="2" applyFont="1" applyBorder="1"/>
    <xf numFmtId="9" fontId="5" fillId="0" borderId="9" xfId="2" applyFont="1" applyBorder="1"/>
    <xf numFmtId="169" fontId="5" fillId="0" borderId="9" xfId="0" applyNumberFormat="1" applyFont="1" applyBorder="1"/>
    <xf numFmtId="169" fontId="3" fillId="0" borderId="0" xfId="2" applyNumberFormat="1" applyFont="1" applyBorder="1"/>
    <xf numFmtId="169" fontId="3" fillId="0" borderId="9" xfId="2" applyNumberFormat="1" applyFont="1" applyBorder="1"/>
    <xf numFmtId="169" fontId="8" fillId="0" borderId="2" xfId="0" applyNumberFormat="1" applyFont="1" applyBorder="1"/>
    <xf numFmtId="169" fontId="8" fillId="0" borderId="11" xfId="0" applyNumberFormat="1" applyFont="1" applyBorder="1"/>
    <xf numFmtId="166" fontId="3" fillId="0" borderId="13" xfId="2" applyNumberFormat="1" applyFont="1" applyBorder="1"/>
    <xf numFmtId="41" fontId="9" fillId="0" borderId="5" xfId="0" applyNumberFormat="1" applyFont="1" applyBorder="1"/>
    <xf numFmtId="41" fontId="3" fillId="0" borderId="6" xfId="0" applyNumberFormat="1" applyFont="1" applyBorder="1"/>
    <xf numFmtId="166" fontId="5" fillId="0" borderId="7" xfId="2" applyNumberFormat="1" applyFont="1" applyBorder="1"/>
    <xf numFmtId="41" fontId="3" fillId="0" borderId="8" xfId="0" applyNumberFormat="1" applyFont="1" applyBorder="1"/>
    <xf numFmtId="43" fontId="5" fillId="0" borderId="9" xfId="0" applyNumberFormat="1" applyFont="1" applyBorder="1"/>
    <xf numFmtId="41" fontId="4" fillId="0" borderId="12" xfId="0" applyNumberFormat="1" applyFont="1" applyBorder="1" applyAlignment="1">
      <alignment horizontal="left" indent="1"/>
    </xf>
    <xf numFmtId="166" fontId="10" fillId="0" borderId="4" xfId="0" applyNumberFormat="1" applyFont="1" applyBorder="1"/>
    <xf numFmtId="166" fontId="10" fillId="0" borderId="13" xfId="0" applyNumberFormat="1" applyFont="1" applyBorder="1"/>
    <xf numFmtId="165" fontId="7" fillId="2" borderId="0" xfId="0" applyNumberFormat="1" applyFont="1" applyFill="1" applyAlignment="1">
      <alignment horizontal="center"/>
    </xf>
    <xf numFmtId="41" fontId="12" fillId="0" borderId="0" xfId="0" applyNumberFormat="1" applyFont="1"/>
    <xf numFmtId="41" fontId="13" fillId="0" borderId="0" xfId="0" applyNumberFormat="1" applyFont="1"/>
    <xf numFmtId="2" fontId="7" fillId="2" borderId="0" xfId="0" applyNumberFormat="1" applyFont="1" applyFill="1" applyAlignment="1">
      <alignment horizontal="center"/>
    </xf>
    <xf numFmtId="41" fontId="5" fillId="0" borderId="2" xfId="0" applyNumberFormat="1" applyFont="1" applyBorder="1"/>
    <xf numFmtId="9" fontId="12" fillId="0" borderId="0" xfId="2" applyFont="1"/>
    <xf numFmtId="164" fontId="7" fillId="2" borderId="0" xfId="0" applyNumberFormat="1" applyFont="1" applyFill="1" applyAlignment="1">
      <alignment horizontal="center"/>
    </xf>
    <xf numFmtId="0" fontId="15" fillId="0" borderId="0" xfId="0" applyFont="1"/>
    <xf numFmtId="167" fontId="12" fillId="0" borderId="0" xfId="0" applyNumberFormat="1" applyFont="1"/>
    <xf numFmtId="165" fontId="7" fillId="2" borderId="0" xfId="0" applyNumberFormat="1" applyFont="1" applyFill="1"/>
    <xf numFmtId="166" fontId="12" fillId="0" borderId="0" xfId="2" applyNumberFormat="1" applyFont="1"/>
    <xf numFmtId="9" fontId="3" fillId="0" borderId="0" xfId="2" applyFont="1"/>
    <xf numFmtId="167" fontId="5" fillId="0" borderId="0" xfId="0" applyNumberFormat="1" applyFont="1"/>
    <xf numFmtId="1" fontId="5" fillId="0" borderId="0" xfId="0" applyNumberFormat="1" applyFont="1"/>
    <xf numFmtId="0" fontId="7" fillId="2" borderId="0" xfId="0" applyFont="1" applyFill="1"/>
    <xf numFmtId="0" fontId="6" fillId="2" borderId="0" xfId="0" applyFont="1" applyFill="1"/>
    <xf numFmtId="41" fontId="16" fillId="0" borderId="0" xfId="0" applyNumberFormat="1" applyFont="1"/>
    <xf numFmtId="0" fontId="17" fillId="0" borderId="0" xfId="0" applyFont="1"/>
    <xf numFmtId="41" fontId="20" fillId="0" borderId="0" xfId="0" applyNumberFormat="1" applyFont="1"/>
    <xf numFmtId="9" fontId="0" fillId="0" borderId="0" xfId="2" applyFont="1"/>
    <xf numFmtId="166" fontId="0" fillId="0" borderId="0" xfId="2" applyNumberFormat="1" applyFont="1"/>
    <xf numFmtId="41" fontId="0" fillId="0" borderId="0" xfId="0" applyNumberFormat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7" fillId="0" borderId="19" xfId="0" applyFont="1" applyBorder="1" applyAlignment="1">
      <alignment horizontal="left" vertical="center"/>
    </xf>
    <xf numFmtId="0" fontId="0" fillId="0" borderId="20" xfId="0" applyBorder="1"/>
    <xf numFmtId="0" fontId="0" fillId="0" borderId="19" xfId="0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0" fillId="0" borderId="22" xfId="0" applyBorder="1"/>
    <xf numFmtId="41" fontId="0" fillId="0" borderId="22" xfId="0" applyNumberFormat="1" applyBorder="1"/>
    <xf numFmtId="0" fontId="0" fillId="0" borderId="23" xfId="0" applyBorder="1"/>
    <xf numFmtId="0" fontId="1" fillId="0" borderId="0" xfId="0" applyFont="1" applyAlignment="1">
      <alignment wrapText="1"/>
    </xf>
    <xf numFmtId="0" fontId="1" fillId="0" borderId="19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21" fillId="0" borderId="16" xfId="0" applyFont="1" applyBorder="1" applyAlignment="1">
      <alignment wrapText="1"/>
    </xf>
    <xf numFmtId="0" fontId="21" fillId="0" borderId="19" xfId="0" applyFont="1" applyBorder="1" applyAlignment="1">
      <alignment wrapText="1"/>
    </xf>
    <xf numFmtId="165" fontId="7" fillId="2" borderId="8" xfId="0" applyNumberFormat="1" applyFont="1" applyFill="1" applyBorder="1"/>
    <xf numFmtId="41" fontId="0" fillId="0" borderId="20" xfId="0" applyNumberFormat="1" applyBorder="1"/>
    <xf numFmtId="41" fontId="0" fillId="0" borderId="23" xfId="0" applyNumberFormat="1" applyBorder="1"/>
    <xf numFmtId="10" fontId="0" fillId="0" borderId="0" xfId="2" applyNumberFormat="1" applyFont="1"/>
    <xf numFmtId="166" fontId="0" fillId="0" borderId="0" xfId="2" applyNumberFormat="1" applyFont="1" applyBorder="1"/>
    <xf numFmtId="166" fontId="0" fillId="0" borderId="9" xfId="2" applyNumberFormat="1" applyFont="1" applyBorder="1"/>
    <xf numFmtId="1" fontId="0" fillId="0" borderId="0" xfId="0" applyNumberFormat="1"/>
    <xf numFmtId="1" fontId="0" fillId="0" borderId="20" xfId="0" applyNumberFormat="1" applyBorder="1"/>
    <xf numFmtId="0" fontId="0" fillId="0" borderId="24" xfId="0" applyBorder="1"/>
    <xf numFmtId="41" fontId="0" fillId="0" borderId="9" xfId="0" applyNumberFormat="1" applyBorder="1"/>
    <xf numFmtId="41" fontId="0" fillId="0" borderId="25" xfId="0" applyNumberFormat="1" applyBorder="1"/>
    <xf numFmtId="0" fontId="17" fillId="0" borderId="16" xfId="0" applyFont="1" applyBorder="1"/>
    <xf numFmtId="0" fontId="0" fillId="0" borderId="19" xfId="0" applyBorder="1"/>
    <xf numFmtId="9" fontId="0" fillId="0" borderId="0" xfId="2" applyFont="1" applyBorder="1"/>
    <xf numFmtId="0" fontId="0" fillId="0" borderId="21" xfId="0" applyBorder="1"/>
    <xf numFmtId="9" fontId="0" fillId="0" borderId="22" xfId="2" applyFont="1" applyBorder="1"/>
    <xf numFmtId="9" fontId="0" fillId="0" borderId="17" xfId="2" applyFont="1" applyBorder="1"/>
    <xf numFmtId="9" fontId="0" fillId="0" borderId="0" xfId="0" applyNumberFormat="1"/>
    <xf numFmtId="9" fontId="0" fillId="0" borderId="22" xfId="0" applyNumberFormat="1" applyBorder="1"/>
    <xf numFmtId="10" fontId="0" fillId="0" borderId="0" xfId="0" applyNumberFormat="1"/>
    <xf numFmtId="166" fontId="0" fillId="0" borderId="0" xfId="0" applyNumberFormat="1"/>
    <xf numFmtId="166" fontId="0" fillId="0" borderId="20" xfId="0" applyNumberFormat="1" applyBorder="1"/>
    <xf numFmtId="9" fontId="0" fillId="0" borderId="20" xfId="0" applyNumberFormat="1" applyBorder="1"/>
    <xf numFmtId="166" fontId="0" fillId="0" borderId="22" xfId="0" applyNumberFormat="1" applyBorder="1"/>
    <xf numFmtId="166" fontId="0" fillId="0" borderId="23" xfId="0" applyNumberFormat="1" applyBorder="1"/>
    <xf numFmtId="9" fontId="0" fillId="0" borderId="23" xfId="0" applyNumberFormat="1" applyBorder="1"/>
    <xf numFmtId="41" fontId="19" fillId="0" borderId="16" xfId="0" applyNumberFormat="1" applyFont="1" applyBorder="1" applyAlignment="1">
      <alignment horizontal="left" vertical="center"/>
    </xf>
    <xf numFmtId="166" fontId="0" fillId="0" borderId="17" xfId="2" applyNumberFormat="1" applyFont="1" applyBorder="1"/>
    <xf numFmtId="166" fontId="0" fillId="0" borderId="17" xfId="0" applyNumberFormat="1" applyBorder="1"/>
    <xf numFmtId="166" fontId="0" fillId="0" borderId="18" xfId="0" applyNumberFormat="1" applyBorder="1"/>
    <xf numFmtId="41" fontId="19" fillId="0" borderId="19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166" fontId="0" fillId="0" borderId="22" xfId="2" applyNumberFormat="1" applyFont="1" applyBorder="1"/>
    <xf numFmtId="9" fontId="0" fillId="0" borderId="24" xfId="2" applyFont="1" applyBorder="1"/>
    <xf numFmtId="9" fontId="0" fillId="0" borderId="9" xfId="2" applyFont="1" applyBorder="1"/>
    <xf numFmtId="9" fontId="0" fillId="0" borderId="25" xfId="2" applyFont="1" applyBorder="1"/>
    <xf numFmtId="0" fontId="0" fillId="0" borderId="25" xfId="0" applyBorder="1"/>
    <xf numFmtId="171" fontId="0" fillId="0" borderId="0" xfId="0" applyNumberFormat="1"/>
    <xf numFmtId="1" fontId="0" fillId="0" borderId="17" xfId="0" applyNumberFormat="1" applyBorder="1"/>
    <xf numFmtId="1" fontId="0" fillId="0" borderId="18" xfId="0" applyNumberFormat="1" applyBorder="1"/>
    <xf numFmtId="171" fontId="0" fillId="0" borderId="20" xfId="0" applyNumberFormat="1" applyBorder="1"/>
    <xf numFmtId="0" fontId="17" fillId="0" borderId="9" xfId="0" applyFont="1" applyBorder="1"/>
    <xf numFmtId="10" fontId="5" fillId="0" borderId="0" xfId="2" applyNumberFormat="1" applyFont="1"/>
    <xf numFmtId="171" fontId="5" fillId="0" borderId="0" xfId="0" applyNumberFormat="1" applyFont="1"/>
    <xf numFmtId="2" fontId="5" fillId="0" borderId="0" xfId="0" applyNumberFormat="1" applyFont="1"/>
    <xf numFmtId="0" fontId="22" fillId="0" borderId="0" xfId="0" applyFont="1"/>
    <xf numFmtId="1" fontId="22" fillId="0" borderId="0" xfId="0" applyNumberFormat="1" applyFont="1"/>
    <xf numFmtId="0" fontId="22" fillId="0" borderId="19" xfId="0" applyFont="1" applyBorder="1" applyAlignment="1">
      <alignment horizontal="left" vertical="center"/>
    </xf>
    <xf numFmtId="10" fontId="22" fillId="0" borderId="0" xfId="0" applyNumberFormat="1" applyFont="1"/>
    <xf numFmtId="0" fontId="23" fillId="0" borderId="19" xfId="0" applyFont="1" applyBorder="1" applyAlignment="1">
      <alignment wrapText="1"/>
    </xf>
    <xf numFmtId="0" fontId="22" fillId="0" borderId="20" xfId="0" applyFont="1" applyBorder="1"/>
    <xf numFmtId="0" fontId="12" fillId="0" borderId="0" xfId="0" applyFont="1"/>
    <xf numFmtId="0" fontId="24" fillId="0" borderId="0" xfId="0" applyFont="1"/>
    <xf numFmtId="41" fontId="26" fillId="0" borderId="0" xfId="0" applyNumberFormat="1" applyFont="1"/>
    <xf numFmtId="3" fontId="26" fillId="0" borderId="0" xfId="0" applyNumberFormat="1" applyFont="1"/>
    <xf numFmtId="43" fontId="0" fillId="0" borderId="0" xfId="0" applyNumberFormat="1"/>
    <xf numFmtId="4" fontId="27" fillId="0" borderId="0" xfId="0" applyNumberFormat="1" applyFont="1"/>
    <xf numFmtId="0" fontId="27" fillId="0" borderId="0" xfId="0" applyFont="1"/>
    <xf numFmtId="44" fontId="0" fillId="0" borderId="0" xfId="0" applyNumberFormat="1"/>
    <xf numFmtId="0" fontId="0" fillId="0" borderId="5" xfId="0" applyBorder="1"/>
    <xf numFmtId="164" fontId="22" fillId="0" borderId="6" xfId="0" applyNumberFormat="1" applyFont="1" applyBorder="1"/>
    <xf numFmtId="165" fontId="22" fillId="0" borderId="6" xfId="0" applyNumberFormat="1" applyFont="1" applyBorder="1"/>
    <xf numFmtId="0" fontId="22" fillId="0" borderId="7" xfId="0" applyFont="1" applyBorder="1"/>
    <xf numFmtId="0" fontId="0" fillId="0" borderId="8" xfId="0" applyBorder="1"/>
    <xf numFmtId="9" fontId="0" fillId="0" borderId="9" xfId="0" applyNumberFormat="1" applyBorder="1"/>
    <xf numFmtId="0" fontId="0" fillId="0" borderId="12" xfId="0" applyBorder="1"/>
    <xf numFmtId="44" fontId="0" fillId="0" borderId="4" xfId="0" applyNumberFormat="1" applyBorder="1"/>
    <xf numFmtId="9" fontId="0" fillId="0" borderId="13" xfId="0" applyNumberFormat="1" applyBorder="1"/>
    <xf numFmtId="4" fontId="0" fillId="0" borderId="0" xfId="0" applyNumberFormat="1"/>
    <xf numFmtId="0" fontId="28" fillId="0" borderId="0" xfId="0" applyFont="1"/>
    <xf numFmtId="0" fontId="23" fillId="0" borderId="0" xfId="0" applyFont="1"/>
    <xf numFmtId="0" fontId="25" fillId="2" borderId="0" xfId="0" applyFont="1" applyFill="1"/>
    <xf numFmtId="164" fontId="25" fillId="2" borderId="0" xfId="0" applyNumberFormat="1" applyFont="1" applyFill="1"/>
    <xf numFmtId="165" fontId="25" fillId="2" borderId="0" xfId="0" applyNumberFormat="1" applyFont="1" applyFill="1"/>
    <xf numFmtId="0" fontId="30" fillId="0" borderId="0" xfId="0" applyFont="1"/>
    <xf numFmtId="0" fontId="30" fillId="0" borderId="8" xfId="0" applyFont="1" applyBorder="1"/>
    <xf numFmtId="14" fontId="30" fillId="0" borderId="9" xfId="0" applyNumberFormat="1" applyFont="1" applyBorder="1"/>
    <xf numFmtId="0" fontId="30" fillId="0" borderId="4" xfId="0" applyFont="1" applyBorder="1"/>
    <xf numFmtId="43" fontId="31" fillId="0" borderId="4" xfId="0" applyNumberFormat="1" applyFont="1" applyBorder="1"/>
    <xf numFmtId="0" fontId="30" fillId="0" borderId="12" xfId="0" applyFont="1" applyBorder="1"/>
    <xf numFmtId="9" fontId="30" fillId="0" borderId="13" xfId="0" applyNumberFormat="1" applyFont="1" applyBorder="1"/>
    <xf numFmtId="0" fontId="32" fillId="0" borderId="0" xfId="0" applyFont="1"/>
    <xf numFmtId="43" fontId="32" fillId="0" borderId="0" xfId="0" applyNumberFormat="1" applyFont="1"/>
    <xf numFmtId="0" fontId="33" fillId="0" borderId="4" xfId="0" applyFont="1" applyBorder="1"/>
    <xf numFmtId="2" fontId="30" fillId="0" borderId="4" xfId="0" applyNumberFormat="1" applyFont="1" applyBorder="1"/>
    <xf numFmtId="43" fontId="34" fillId="0" borderId="0" xfId="0" applyNumberFormat="1" applyFont="1"/>
    <xf numFmtId="44" fontId="34" fillId="0" borderId="0" xfId="0" applyNumberFormat="1" applyFont="1"/>
    <xf numFmtId="0" fontId="35" fillId="0" borderId="0" xfId="0" applyFont="1"/>
    <xf numFmtId="41" fontId="34" fillId="0" borderId="0" xfId="0" applyNumberFormat="1" applyFont="1"/>
    <xf numFmtId="0" fontId="29" fillId="3" borderId="0" xfId="0" applyFont="1" applyFill="1"/>
    <xf numFmtId="0" fontId="29" fillId="3" borderId="0" xfId="0" applyFont="1" applyFill="1" applyAlignment="1">
      <alignment horizontal="center"/>
    </xf>
    <xf numFmtId="165" fontId="29" fillId="3" borderId="0" xfId="0" applyNumberFormat="1" applyFont="1" applyFill="1"/>
    <xf numFmtId="0" fontId="29" fillId="3" borderId="5" xfId="0" applyFont="1" applyFill="1" applyBorder="1"/>
    <xf numFmtId="0" fontId="29" fillId="3" borderId="7" xfId="0" applyFont="1" applyFill="1" applyBorder="1" applyAlignment="1">
      <alignment horizontal="center"/>
    </xf>
    <xf numFmtId="171" fontId="31" fillId="0" borderId="0" xfId="0" applyNumberFormat="1" applyFont="1"/>
    <xf numFmtId="10" fontId="0" fillId="0" borderId="9" xfId="2" applyNumberFormat="1" applyFont="1" applyBorder="1"/>
    <xf numFmtId="10" fontId="30" fillId="0" borderId="13" xfId="0" applyNumberFormat="1" applyFont="1" applyBorder="1"/>
    <xf numFmtId="3" fontId="0" fillId="0" borderId="0" xfId="0" applyNumberFormat="1"/>
    <xf numFmtId="41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8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5" fillId="0" borderId="6" xfId="2" applyNumberFormat="1" applyFont="1" applyFill="1" applyBorder="1"/>
    <xf numFmtId="10" fontId="5" fillId="0" borderId="7" xfId="2" applyNumberFormat="1" applyFont="1" applyFill="1" applyBorder="1"/>
    <xf numFmtId="10" fontId="5" fillId="0" borderId="0" xfId="2" applyNumberFormat="1" applyFont="1" applyFill="1" applyBorder="1"/>
    <xf numFmtId="10" fontId="5" fillId="0" borderId="9" xfId="2" applyNumberFormat="1" applyFont="1" applyFill="1" applyBorder="1"/>
    <xf numFmtId="9" fontId="16" fillId="0" borderId="0" xfId="2" applyFont="1"/>
    <xf numFmtId="168" fontId="12" fillId="0" borderId="0" xfId="0" applyNumberFormat="1" applyFont="1"/>
    <xf numFmtId="171" fontId="16" fillId="0" borderId="0" xfId="0" applyNumberFormat="1" applyFont="1"/>
    <xf numFmtId="41" fontId="3" fillId="0" borderId="16" xfId="0" applyNumberFormat="1" applyFont="1" applyBorder="1"/>
    <xf numFmtId="41" fontId="16" fillId="0" borderId="17" xfId="0" applyNumberFormat="1" applyFont="1" applyBorder="1"/>
    <xf numFmtId="171" fontId="16" fillId="0" borderId="17" xfId="0" applyNumberFormat="1" applyFont="1" applyBorder="1"/>
    <xf numFmtId="171" fontId="16" fillId="0" borderId="18" xfId="0" applyNumberFormat="1" applyFont="1" applyBorder="1"/>
    <xf numFmtId="41" fontId="3" fillId="0" borderId="19" xfId="0" applyNumberFormat="1" applyFont="1" applyBorder="1"/>
    <xf numFmtId="171" fontId="16" fillId="0" borderId="20" xfId="0" applyNumberFormat="1" applyFont="1" applyBorder="1"/>
    <xf numFmtId="41" fontId="5" fillId="0" borderId="21" xfId="0" applyNumberFormat="1" applyFont="1" applyBorder="1"/>
    <xf numFmtId="41" fontId="5" fillId="0" borderId="22" xfId="0" applyNumberFormat="1" applyFont="1" applyBorder="1"/>
    <xf numFmtId="171" fontId="5" fillId="0" borderId="17" xfId="0" applyNumberFormat="1" applyFont="1" applyBorder="1"/>
    <xf numFmtId="171" fontId="5" fillId="0" borderId="18" xfId="0" applyNumberFormat="1" applyFont="1" applyBorder="1"/>
    <xf numFmtId="41" fontId="5" fillId="0" borderId="19" xfId="0" applyNumberFormat="1" applyFont="1" applyBorder="1"/>
    <xf numFmtId="41" fontId="9" fillId="0" borderId="21" xfId="0" applyNumberFormat="1" applyFont="1" applyBorder="1"/>
    <xf numFmtId="171" fontId="5" fillId="0" borderId="22" xfId="0" applyNumberFormat="1" applyFont="1" applyBorder="1"/>
    <xf numFmtId="171" fontId="5" fillId="0" borderId="23" xfId="0" applyNumberFormat="1" applyFont="1" applyBorder="1"/>
    <xf numFmtId="0" fontId="8" fillId="0" borderId="16" xfId="0" applyFont="1" applyBorder="1"/>
    <xf numFmtId="0" fontId="8" fillId="0" borderId="17" xfId="0" applyFont="1" applyBorder="1"/>
    <xf numFmtId="0" fontId="5" fillId="0" borderId="17" xfId="0" applyFont="1" applyBorder="1"/>
    <xf numFmtId="3" fontId="5" fillId="0" borderId="17" xfId="0" applyNumberFormat="1" applyFont="1" applyBorder="1"/>
    <xf numFmtId="0" fontId="5" fillId="0" borderId="18" xfId="0" applyFont="1" applyBorder="1"/>
    <xf numFmtId="41" fontId="5" fillId="0" borderId="23" xfId="0" applyNumberFormat="1" applyFont="1" applyBorder="1"/>
    <xf numFmtId="41" fontId="9" fillId="0" borderId="16" xfId="0" applyNumberFormat="1" applyFont="1" applyBorder="1"/>
    <xf numFmtId="41" fontId="9" fillId="0" borderId="17" xfId="0" applyNumberFormat="1" applyFont="1" applyBorder="1"/>
    <xf numFmtId="0" fontId="14" fillId="0" borderId="19" xfId="0" applyFont="1" applyBorder="1"/>
    <xf numFmtId="0" fontId="14" fillId="0" borderId="0" xfId="0" applyFont="1"/>
    <xf numFmtId="0" fontId="5" fillId="0" borderId="20" xfId="0" applyFont="1" applyBorder="1"/>
    <xf numFmtId="0" fontId="5" fillId="0" borderId="21" xfId="0" applyFont="1" applyBorder="1"/>
    <xf numFmtId="0" fontId="14" fillId="0" borderId="16" xfId="0" applyFont="1" applyBorder="1"/>
    <xf numFmtId="0" fontId="14" fillId="0" borderId="17" xfId="0" applyFont="1" applyBorder="1"/>
    <xf numFmtId="0" fontId="5" fillId="0" borderId="19" xfId="0" applyFont="1" applyBorder="1"/>
    <xf numFmtId="9" fontId="5" fillId="0" borderId="20" xfId="2" applyFont="1" applyBorder="1"/>
    <xf numFmtId="9" fontId="12" fillId="0" borderId="0" xfId="2" applyFont="1" applyBorder="1"/>
    <xf numFmtId="9" fontId="12" fillId="0" borderId="20" xfId="2" applyFont="1" applyBorder="1"/>
    <xf numFmtId="166" fontId="5" fillId="0" borderId="22" xfId="2" applyNumberFormat="1" applyFont="1" applyBorder="1"/>
    <xf numFmtId="166" fontId="5" fillId="0" borderId="22" xfId="0" applyNumberFormat="1" applyFont="1" applyBorder="1"/>
    <xf numFmtId="166" fontId="5" fillId="0" borderId="23" xfId="0" applyNumberFormat="1" applyFont="1" applyBorder="1"/>
    <xf numFmtId="9" fontId="16" fillId="0" borderId="0" xfId="2" applyFont="1" applyBorder="1"/>
    <xf numFmtId="9" fontId="16" fillId="0" borderId="0" xfId="0" applyNumberFormat="1" applyFont="1"/>
    <xf numFmtId="9" fontId="16" fillId="0" borderId="20" xfId="0" applyNumberFormat="1" applyFont="1" applyBorder="1"/>
    <xf numFmtId="9" fontId="16" fillId="0" borderId="22" xfId="2" applyFont="1" applyBorder="1"/>
    <xf numFmtId="9" fontId="16" fillId="0" borderId="23" xfId="2" applyFont="1" applyBorder="1"/>
    <xf numFmtId="9" fontId="16" fillId="0" borderId="22" xfId="0" applyNumberFormat="1" applyFont="1" applyBorder="1"/>
    <xf numFmtId="9" fontId="16" fillId="0" borderId="23" xfId="0" applyNumberFormat="1" applyFont="1" applyBorder="1"/>
    <xf numFmtId="166" fontId="38" fillId="0" borderId="0" xfId="2" applyNumberFormat="1" applyFont="1" applyBorder="1"/>
    <xf numFmtId="3" fontId="12" fillId="0" borderId="0" xfId="0" applyNumberFormat="1" applyFont="1"/>
    <xf numFmtId="169" fontId="12" fillId="0" borderId="0" xfId="0" applyNumberFormat="1" applyFont="1"/>
    <xf numFmtId="3" fontId="37" fillId="0" borderId="0" xfId="0" applyNumberFormat="1" applyFont="1"/>
    <xf numFmtId="2" fontId="5" fillId="0" borderId="9" xfId="0" applyNumberFormat="1" applyFont="1" applyBorder="1"/>
    <xf numFmtId="2" fontId="6" fillId="2" borderId="0" xfId="0" applyNumberFormat="1" applyFont="1" applyFill="1"/>
    <xf numFmtId="1" fontId="6" fillId="2" borderId="0" xfId="0" applyNumberFormat="1" applyFont="1" applyFill="1"/>
    <xf numFmtId="166" fontId="0" fillId="0" borderId="24" xfId="2" applyNumberFormat="1" applyFont="1" applyBorder="1"/>
    <xf numFmtId="166" fontId="0" fillId="0" borderId="25" xfId="2" applyNumberFormat="1" applyFont="1" applyBorder="1"/>
    <xf numFmtId="0" fontId="27" fillId="0" borderId="9" xfId="0" applyFont="1" applyBorder="1"/>
    <xf numFmtId="0" fontId="40" fillId="0" borderId="0" xfId="0" applyFont="1"/>
    <xf numFmtId="0" fontId="40" fillId="0" borderId="9" xfId="0" applyFont="1" applyBorder="1"/>
    <xf numFmtId="1" fontId="39" fillId="0" borderId="0" xfId="0" applyNumberFormat="1" applyFont="1"/>
    <xf numFmtId="1" fontId="39" fillId="0" borderId="20" xfId="0" applyNumberFormat="1" applyFont="1" applyBorder="1"/>
    <xf numFmtId="0" fontId="27" fillId="0" borderId="17" xfId="0" applyFont="1" applyBorder="1"/>
    <xf numFmtId="0" fontId="27" fillId="0" borderId="24" xfId="0" applyFont="1" applyBorder="1"/>
    <xf numFmtId="0" fontId="41" fillId="0" borderId="0" xfId="0" applyFont="1"/>
    <xf numFmtId="0" fontId="41" fillId="0" borderId="9" xfId="0" applyFont="1" applyBorder="1"/>
    <xf numFmtId="9" fontId="42" fillId="0" borderId="22" xfId="2" applyFont="1" applyBorder="1"/>
    <xf numFmtId="9" fontId="42" fillId="0" borderId="25" xfId="2" applyFont="1" applyBorder="1"/>
    <xf numFmtId="41" fontId="42" fillId="0" borderId="0" xfId="0" applyNumberFormat="1" applyFont="1"/>
    <xf numFmtId="1" fontId="42" fillId="0" borderId="0" xfId="0" applyNumberFormat="1" applyFont="1"/>
    <xf numFmtId="0" fontId="28" fillId="0" borderId="19" xfId="0" applyFont="1" applyBorder="1"/>
    <xf numFmtId="0" fontId="28" fillId="0" borderId="21" xfId="0" applyFont="1" applyBorder="1"/>
    <xf numFmtId="0" fontId="43" fillId="2" borderId="16" xfId="0" applyFont="1" applyFill="1" applyBorder="1"/>
    <xf numFmtId="0" fontId="44" fillId="2" borderId="18" xfId="0" applyFont="1" applyFill="1" applyBorder="1"/>
    <xf numFmtId="0" fontId="26" fillId="0" borderId="23" xfId="0" applyFont="1" applyBorder="1"/>
    <xf numFmtId="9" fontId="0" fillId="0" borderId="20" xfId="2" applyFont="1" applyBorder="1"/>
    <xf numFmtId="44" fontId="0" fillId="0" borderId="20" xfId="1" applyFont="1" applyBorder="1"/>
    <xf numFmtId="14" fontId="0" fillId="0" borderId="20" xfId="0" applyNumberFormat="1" applyBorder="1"/>
    <xf numFmtId="41" fontId="7" fillId="2" borderId="0" xfId="0" applyNumberFormat="1" applyFont="1" applyFill="1" applyAlignment="1">
      <alignment horizontal="center"/>
    </xf>
    <xf numFmtId="41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9" xfId="0" applyFont="1" applyFill="1" applyBorder="1" applyAlignment="1">
      <alignment horizontal="center"/>
    </xf>
    <xf numFmtId="41" fontId="18" fillId="3" borderId="8" xfId="0" applyNumberFormat="1" applyFont="1" applyFill="1" applyBorder="1" applyAlignment="1">
      <alignment horizontal="center"/>
    </xf>
    <xf numFmtId="41" fontId="18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12C86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825500</xdr:colOff>
      <xdr:row>6</xdr:row>
      <xdr:rowOff>101600</xdr:rowOff>
    </xdr:to>
    <xdr:pic>
      <xdr:nvPicPr>
        <xdr:cNvPr id="3" name="Picture 2" descr="HealthEquity, Inc. (HQY) Stock Price, Quote, News &amp; Analysis | Seeking Alpha">
          <a:extLst>
            <a:ext uri="{FF2B5EF4-FFF2-40B4-BE49-F238E27FC236}">
              <a16:creationId xmlns:a16="http://schemas.microsoft.com/office/drawing/2014/main" id="{9D3AE015-4FEB-A5B9-46A8-66BDC70D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0" cy="132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ckmason/Downloads/ARIA%20MOST%20UPDATED.xlsx" TargetMode="External"/><Relationship Id="rId1" Type="http://schemas.openxmlformats.org/officeDocument/2006/relationships/externalLinkPath" Target="ARIA%20MOST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annual IS"/>
      <sheetName val="quarterly IS"/>
      <sheetName val="Expense Build"/>
      <sheetName val="Revenue Build"/>
      <sheetName val="Balance Sheet Build"/>
      <sheetName val="Balance Sheet"/>
      <sheetName val="Cash Flow Statement"/>
      <sheetName val="IRR"/>
      <sheetName val="DCF"/>
      <sheetName val="KPIs"/>
    </sheetNames>
    <sheetDataSet>
      <sheetData sheetId="0"/>
      <sheetData sheetId="1">
        <row r="31">
          <cell r="H31">
            <v>5627.4460702054721</v>
          </cell>
          <cell r="I31">
            <v>6105.8266787883167</v>
          </cell>
          <cell r="J31">
            <v>6595.2160739397768</v>
          </cell>
          <cell r="K31">
            <v>6954.1356550892169</v>
          </cell>
          <cell r="L31">
            <v>7342.4352913191806</v>
          </cell>
        </row>
        <row r="34">
          <cell r="H34">
            <v>45968.256759273216</v>
          </cell>
          <cell r="I34">
            <v>57006.795583628875</v>
          </cell>
          <cell r="J34">
            <v>65591.125031620773</v>
          </cell>
          <cell r="K34">
            <v>71635.846686052333</v>
          </cell>
          <cell r="L34">
            <v>77631.117687971506</v>
          </cell>
        </row>
        <row r="46">
          <cell r="G46">
            <v>88828</v>
          </cell>
        </row>
      </sheetData>
      <sheetData sheetId="2">
        <row r="16">
          <cell r="W16">
            <v>0.64783784279372614</v>
          </cell>
        </row>
      </sheetData>
      <sheetData sheetId="3"/>
      <sheetData sheetId="4"/>
      <sheetData sheetId="5"/>
      <sheetData sheetId="6">
        <row r="5">
          <cell r="W5">
            <v>295948</v>
          </cell>
        </row>
        <row r="25">
          <cell r="W25">
            <v>1056301</v>
          </cell>
          <cell r="AA25">
            <v>1152410.4737188877</v>
          </cell>
          <cell r="AB25">
            <v>1221310.7201215297</v>
          </cell>
          <cell r="AC25">
            <v>1287806.2936728799</v>
          </cell>
          <cell r="AD25">
            <v>1324787.8040038021</v>
          </cell>
          <cell r="AE25">
            <v>1363809.4741389742</v>
          </cell>
        </row>
      </sheetData>
      <sheetData sheetId="7"/>
      <sheetData sheetId="8">
        <row r="7">
          <cell r="C7">
            <v>96.79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D59-9604-CE4C-A8DA-CDC585CDD5A1}">
  <dimension ref="B11:D18"/>
  <sheetViews>
    <sheetView showGridLines="0" workbookViewId="0">
      <selection activeCell="G15" sqref="G15"/>
    </sheetView>
  </sheetViews>
  <sheetFormatPr baseColWidth="10" defaultColWidth="11.5" defaultRowHeight="16" x14ac:dyDescent="0.2"/>
  <cols>
    <col min="2" max="2" width="16.6640625" bestFit="1" customWidth="1"/>
  </cols>
  <sheetData>
    <row r="11" spans="2:4" ht="17" thickBot="1" x14ac:dyDescent="0.25"/>
    <row r="12" spans="2:4" x14ac:dyDescent="0.2">
      <c r="B12" s="313" t="s">
        <v>277</v>
      </c>
      <c r="C12" s="314" t="s">
        <v>282</v>
      </c>
      <c r="D12" s="205"/>
    </row>
    <row r="13" spans="2:4" x14ac:dyDescent="0.2">
      <c r="B13" s="311" t="s">
        <v>278</v>
      </c>
      <c r="C13" s="318">
        <v>46004</v>
      </c>
      <c r="D13" s="205"/>
    </row>
    <row r="14" spans="2:4" x14ac:dyDescent="0.2">
      <c r="B14" s="311" t="s">
        <v>228</v>
      </c>
      <c r="C14" s="317">
        <v>96.79</v>
      </c>
      <c r="D14" s="205"/>
    </row>
    <row r="15" spans="2:4" x14ac:dyDescent="0.2">
      <c r="B15" s="311" t="s">
        <v>230</v>
      </c>
      <c r="C15" s="317">
        <v>160.60018158769964</v>
      </c>
      <c r="D15" s="205"/>
    </row>
    <row r="16" spans="2:4" x14ac:dyDescent="0.2">
      <c r="B16" s="311" t="s">
        <v>279</v>
      </c>
      <c r="C16" s="316">
        <v>0.6592641965874535</v>
      </c>
      <c r="D16" s="205"/>
    </row>
    <row r="17" spans="2:4" x14ac:dyDescent="0.2">
      <c r="B17" s="311" t="s">
        <v>245</v>
      </c>
      <c r="C17" s="316">
        <v>5.0557999999999999E-2</v>
      </c>
      <c r="D17" s="205"/>
    </row>
    <row r="18" spans="2:4" ht="17" thickBot="1" x14ac:dyDescent="0.25">
      <c r="B18" s="312" t="s">
        <v>280</v>
      </c>
      <c r="C18" s="315" t="s">
        <v>281</v>
      </c>
      <c r="D18" s="20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0A81-8E79-7A46-9761-64C7F91EF962}">
  <sheetPr codeName="Sheet3"/>
  <dimension ref="A1:AW104"/>
  <sheetViews>
    <sheetView showGridLines="0" tabSelected="1" zoomScaleNormal="100" workbookViewId="0">
      <pane xSplit="2" ySplit="2" topLeftCell="C3" activePane="bottomRight" state="frozen"/>
      <selection activeCell="H5" sqref="H1:H1048576"/>
      <selection pane="topRight" activeCell="H5" sqref="H1:H1048576"/>
      <selection pane="bottomLeft" activeCell="H5" sqref="H1:H1048576"/>
      <selection pane="bottomRight" activeCell="AE11" sqref="AE11"/>
    </sheetView>
  </sheetViews>
  <sheetFormatPr baseColWidth="10" defaultColWidth="11.5" defaultRowHeight="14" x14ac:dyDescent="0.15"/>
  <cols>
    <col min="1" max="1" width="1.83203125" style="4" customWidth="1"/>
    <col min="2" max="2" width="58.83203125" style="4" bestFit="1" customWidth="1"/>
    <col min="3" max="3" width="10.5" style="4" customWidth="1"/>
    <col min="4" max="4" width="10.5" style="4" hidden="1" customWidth="1"/>
    <col min="5" max="5" width="10.83203125" style="4" hidden="1" customWidth="1"/>
    <col min="6" max="7" width="10.5" style="4" hidden="1" customWidth="1"/>
    <col min="8" max="8" width="12.1640625" style="4" customWidth="1"/>
    <col min="9" max="11" width="10.5" style="4" hidden="1" customWidth="1"/>
    <col min="12" max="12" width="11.5" style="4" hidden="1" customWidth="1"/>
    <col min="13" max="13" width="11.5" style="4" customWidth="1"/>
    <col min="14" max="17" width="10.5" style="4" hidden="1" customWidth="1"/>
    <col min="18" max="18" width="11.5" style="4" bestFit="1" customWidth="1"/>
    <col min="19" max="22" width="10.5" style="4" hidden="1" customWidth="1"/>
    <col min="23" max="23" width="11.5" style="4" bestFit="1" customWidth="1"/>
    <col min="24" max="24" width="10.5" style="4" customWidth="1"/>
    <col min="25" max="25" width="9" style="4" bestFit="1" customWidth="1"/>
    <col min="26" max="26" width="9" style="4" customWidth="1"/>
    <col min="27" max="27" width="10.5" style="4" bestFit="1" customWidth="1"/>
    <col min="28" max="29" width="9" style="4" bestFit="1" customWidth="1"/>
    <col min="30" max="30" width="9" style="4" customWidth="1"/>
    <col min="31" max="31" width="7.1640625" style="4" bestFit="1" customWidth="1"/>
    <col min="32" max="33" width="9" style="4" bestFit="1" customWidth="1"/>
    <col min="34" max="34" width="13.1640625" style="4" bestFit="1" customWidth="1"/>
    <col min="35" max="35" width="6.1640625" style="4" bestFit="1" customWidth="1"/>
    <col min="36" max="36" width="11.5" style="4"/>
    <col min="37" max="37" width="49.1640625" style="4" bestFit="1" customWidth="1"/>
    <col min="38" max="40" width="11.5" style="4"/>
    <col min="41" max="41" width="5.5" style="4" bestFit="1" customWidth="1"/>
    <col min="42" max="42" width="1.5" style="4" bestFit="1" customWidth="1"/>
    <col min="43" max="44" width="5.5" style="4" bestFit="1" customWidth="1"/>
    <col min="45" max="45" width="11.5" style="4"/>
    <col min="46" max="46" width="1.5" style="4" bestFit="1" customWidth="1"/>
    <col min="47" max="47" width="5.5" style="4" bestFit="1" customWidth="1"/>
    <col min="48" max="16384" width="11.5" style="4"/>
  </cols>
  <sheetData>
    <row r="1" spans="1:49" ht="16" x14ac:dyDescent="0.2">
      <c r="B1" s="6" t="s">
        <v>34</v>
      </c>
      <c r="C1" s="319" t="s">
        <v>0</v>
      </c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/>
      <c r="AB1"/>
      <c r="AC1"/>
      <c r="AD1"/>
      <c r="AE1"/>
      <c r="AF1"/>
      <c r="AG1"/>
      <c r="AH1"/>
      <c r="AI1"/>
    </row>
    <row r="2" spans="1:49" ht="16" x14ac:dyDescent="0.2">
      <c r="B2" s="6"/>
      <c r="C2" s="6" t="s">
        <v>127</v>
      </c>
      <c r="D2" s="7" t="s">
        <v>49</v>
      </c>
      <c r="E2" s="7" t="s">
        <v>50</v>
      </c>
      <c r="F2" s="7" t="s">
        <v>51</v>
      </c>
      <c r="G2" s="7" t="s">
        <v>52</v>
      </c>
      <c r="H2" s="101" t="s">
        <v>126</v>
      </c>
      <c r="I2" s="7" t="s">
        <v>41</v>
      </c>
      <c r="J2" s="7" t="s">
        <v>43</v>
      </c>
      <c r="K2" s="7" t="s">
        <v>42</v>
      </c>
      <c r="L2" s="7" t="s">
        <v>44</v>
      </c>
      <c r="M2" s="7" t="s">
        <v>118</v>
      </c>
      <c r="N2" s="8" t="s">
        <v>45</v>
      </c>
      <c r="O2" s="8" t="s">
        <v>46</v>
      </c>
      <c r="P2" s="8" t="s">
        <v>47</v>
      </c>
      <c r="Q2" s="8" t="s">
        <v>48</v>
      </c>
      <c r="R2" s="8" t="s">
        <v>119</v>
      </c>
      <c r="S2" s="8" t="s">
        <v>53</v>
      </c>
      <c r="T2" s="8" t="s">
        <v>54</v>
      </c>
      <c r="U2" s="8" t="s">
        <v>55</v>
      </c>
      <c r="V2" s="8" t="s">
        <v>56</v>
      </c>
      <c r="W2" s="8" t="s">
        <v>120</v>
      </c>
      <c r="X2" s="9" t="s">
        <v>16</v>
      </c>
      <c r="Y2" s="9" t="s">
        <v>40</v>
      </c>
      <c r="Z2" s="9" t="s">
        <v>146</v>
      </c>
      <c r="AA2"/>
      <c r="AB2"/>
      <c r="AC2"/>
      <c r="AD2"/>
      <c r="AE2"/>
      <c r="AF2"/>
      <c r="AG2"/>
      <c r="AH2"/>
      <c r="AI2"/>
      <c r="AL2" s="22"/>
      <c r="AM2" s="22"/>
      <c r="AN2" s="1"/>
      <c r="AO2" s="22"/>
      <c r="AP2" s="1"/>
      <c r="AQ2" s="22"/>
    </row>
    <row r="3" spans="1:49" ht="16" x14ac:dyDescent="0.2">
      <c r="B3" s="23" t="s">
        <v>2</v>
      </c>
      <c r="C3" s="23"/>
      <c r="D3" s="13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70"/>
      <c r="Y3" s="70"/>
      <c r="Z3" s="70"/>
      <c r="AA3"/>
      <c r="AB3"/>
      <c r="AC3"/>
      <c r="AD3"/>
      <c r="AE3"/>
      <c r="AF3"/>
      <c r="AG3"/>
      <c r="AH3"/>
      <c r="AI3"/>
      <c r="AK3" s="1"/>
      <c r="AL3" s="1"/>
      <c r="AM3" s="1"/>
      <c r="AN3" s="105"/>
      <c r="AO3" s="105"/>
      <c r="AP3" s="1"/>
      <c r="AQ3" s="1"/>
      <c r="AR3" s="105"/>
      <c r="AS3" s="105"/>
      <c r="AT3" s="1"/>
      <c r="AU3" s="1"/>
      <c r="AV3" s="105"/>
    </row>
    <row r="4" spans="1:49" ht="16" x14ac:dyDescent="0.2">
      <c r="B4" s="23" t="s">
        <v>17</v>
      </c>
      <c r="C4" s="99">
        <v>430966</v>
      </c>
      <c r="D4" s="99">
        <v>102534</v>
      </c>
      <c r="E4" s="99">
        <v>109182</v>
      </c>
      <c r="F4" s="99">
        <v>102733</v>
      </c>
      <c r="G4" s="99">
        <f>'annual IS'!D5-SUM('quarterly IS'!D4:F4)</f>
        <v>112461</v>
      </c>
      <c r="H4" s="99">
        <f>SUM(D4:G4)</f>
        <v>426910</v>
      </c>
      <c r="I4" s="99">
        <v>104348</v>
      </c>
      <c r="J4" s="99">
        <v>103034</v>
      </c>
      <c r="K4" s="99">
        <v>108580</v>
      </c>
      <c r="L4" s="99">
        <f>'annual IS'!E5-SUM('quarterly IS'!I4:K4)</f>
        <v>136064</v>
      </c>
      <c r="M4" s="99">
        <f>SUM(I4:L4)</f>
        <v>452026</v>
      </c>
      <c r="N4" s="99">
        <v>111073</v>
      </c>
      <c r="O4" s="99">
        <v>111960</v>
      </c>
      <c r="P4" s="99">
        <v>114082</v>
      </c>
      <c r="Q4" s="99">
        <f>'annual IS'!F5-SUM('quarterly IS'!N4:P4)</f>
        <v>118575</v>
      </c>
      <c r="R4" s="99">
        <f>SUM(N4:Q4)</f>
        <v>455690</v>
      </c>
      <c r="S4" s="99">
        <v>118214</v>
      </c>
      <c r="T4" s="99">
        <v>116720</v>
      </c>
      <c r="U4" s="99">
        <v>119174</v>
      </c>
      <c r="V4" s="99">
        <f>'annual IS'!G5-SUM('quarterly IS'!S4:U4)</f>
        <v>124209</v>
      </c>
      <c r="W4" s="99">
        <f>SUM(S4:V4)</f>
        <v>478317</v>
      </c>
      <c r="X4" s="99">
        <v>119785</v>
      </c>
      <c r="Y4" s="99">
        <v>117873</v>
      </c>
      <c r="Z4" s="99">
        <v>120286</v>
      </c>
      <c r="AA4"/>
      <c r="AB4"/>
      <c r="AC4"/>
      <c r="AD4"/>
      <c r="AE4"/>
      <c r="AF4"/>
      <c r="AG4"/>
      <c r="AH4"/>
      <c r="AI4"/>
      <c r="AK4" s="1"/>
      <c r="AM4" s="105"/>
      <c r="AN4" s="1"/>
      <c r="AO4" s="1"/>
      <c r="AP4" s="105"/>
      <c r="AQ4" s="105"/>
      <c r="AR4" s="1"/>
      <c r="AS4" s="1"/>
      <c r="AT4" s="105"/>
      <c r="AW4" s="1"/>
    </row>
    <row r="5" spans="1:49" ht="16" x14ac:dyDescent="0.2">
      <c r="B5" s="23" t="s">
        <v>18</v>
      </c>
      <c r="C5" s="99">
        <v>190933</v>
      </c>
      <c r="D5" s="99">
        <v>46978</v>
      </c>
      <c r="E5" s="99">
        <v>48776</v>
      </c>
      <c r="F5" s="99">
        <v>49006</v>
      </c>
      <c r="G5" s="99">
        <f>'annual IS'!D6-SUM('quarterly IS'!D5:F5)</f>
        <v>58057</v>
      </c>
      <c r="H5" s="99">
        <f>SUM(D5:G5)</f>
        <v>202817</v>
      </c>
      <c r="I5" s="99">
        <v>59365</v>
      </c>
      <c r="J5" s="99">
        <v>65599</v>
      </c>
      <c r="K5" s="99">
        <v>74642</v>
      </c>
      <c r="L5" s="99">
        <f>'annual IS'!E6-SUM('quarterly IS'!I5:K5)</f>
        <v>61676</v>
      </c>
      <c r="M5" s="99">
        <f t="shared" ref="M5:M6" si="0">SUM(I5:L5)</f>
        <v>261282</v>
      </c>
      <c r="N5" s="99">
        <v>88480</v>
      </c>
      <c r="O5" s="99">
        <v>92676</v>
      </c>
      <c r="P5" s="99">
        <v>100005</v>
      </c>
      <c r="Q5" s="99">
        <f>'annual IS'!F6-SUM('quarterly IS'!N5:P5)</f>
        <v>105433</v>
      </c>
      <c r="R5" s="99">
        <f t="shared" ref="R5:R6" si="1">SUM(N5:Q5)</f>
        <v>386594</v>
      </c>
      <c r="S5" s="99">
        <v>121644</v>
      </c>
      <c r="T5" s="99">
        <v>138684</v>
      </c>
      <c r="U5" s="99">
        <v>140953</v>
      </c>
      <c r="V5" s="99">
        <f>'annual IS'!G6-SUM('quarterly IS'!S5:U5)</f>
        <v>144133</v>
      </c>
      <c r="W5" s="99">
        <f t="shared" ref="W5:W6" si="2">SUM(S5:V5)</f>
        <v>545414</v>
      </c>
      <c r="X5" s="99">
        <v>156455</v>
      </c>
      <c r="Y5" s="99">
        <v>159876</v>
      </c>
      <c r="Z5" s="99">
        <v>159067</v>
      </c>
      <c r="AA5"/>
      <c r="AB5"/>
      <c r="AC5"/>
      <c r="AD5"/>
      <c r="AE5"/>
      <c r="AF5"/>
      <c r="AG5"/>
      <c r="AH5"/>
      <c r="AI5"/>
      <c r="AK5" s="1"/>
      <c r="AM5" s="105"/>
      <c r="AN5" s="105"/>
      <c r="AO5" s="1"/>
      <c r="AP5" s="105"/>
      <c r="AQ5" s="105"/>
      <c r="AR5" s="1"/>
      <c r="AS5" s="105"/>
    </row>
    <row r="6" spans="1:49" ht="16" x14ac:dyDescent="0.2">
      <c r="A6" s="99"/>
      <c r="B6" s="11" t="s">
        <v>19</v>
      </c>
      <c r="C6" s="99">
        <v>111671</v>
      </c>
      <c r="D6" s="99">
        <v>34690</v>
      </c>
      <c r="E6" s="99">
        <v>31145</v>
      </c>
      <c r="F6" s="99">
        <v>28215</v>
      </c>
      <c r="G6" s="99">
        <f>'annual IS'!D7-SUM('quarterly IS'!D6:F6)</f>
        <v>32779</v>
      </c>
      <c r="H6" s="99">
        <f>SUM(D6:G6)</f>
        <v>126829</v>
      </c>
      <c r="I6" s="99">
        <v>41966</v>
      </c>
      <c r="J6" s="99">
        <v>37509</v>
      </c>
      <c r="K6" s="99">
        <v>32864</v>
      </c>
      <c r="L6" s="99">
        <f>'annual IS'!E7-SUM('quarterly IS'!I6:K6)</f>
        <v>36101</v>
      </c>
      <c r="M6" s="99">
        <f t="shared" si="0"/>
        <v>148440</v>
      </c>
      <c r="N6" s="99">
        <v>44879</v>
      </c>
      <c r="O6" s="99">
        <v>38913</v>
      </c>
      <c r="P6" s="99">
        <v>35132</v>
      </c>
      <c r="Q6" s="99">
        <f>'annual IS'!F7-SUM('quarterly IS'!N6:P6)</f>
        <v>38379</v>
      </c>
      <c r="R6" s="99">
        <f t="shared" si="1"/>
        <v>157303</v>
      </c>
      <c r="S6" s="99">
        <v>47739</v>
      </c>
      <c r="T6" s="99">
        <v>44524</v>
      </c>
      <c r="U6" s="99">
        <v>40305</v>
      </c>
      <c r="V6" s="99">
        <f>'annual IS'!G7-SUM('quarterly IS'!S6:U6)</f>
        <v>43475</v>
      </c>
      <c r="W6" s="99">
        <f t="shared" si="2"/>
        <v>176043</v>
      </c>
      <c r="X6" s="99">
        <v>54605</v>
      </c>
      <c r="Y6" s="99">
        <v>48086</v>
      </c>
      <c r="Z6" s="99">
        <v>42811</v>
      </c>
      <c r="AA6"/>
      <c r="AB6"/>
      <c r="AC6"/>
      <c r="AD6"/>
      <c r="AE6"/>
      <c r="AF6"/>
      <c r="AG6"/>
      <c r="AH6"/>
      <c r="AI6"/>
      <c r="AK6" s="1"/>
      <c r="AM6" s="105"/>
      <c r="AN6" s="105"/>
      <c r="AO6" s="1"/>
      <c r="AP6" s="105"/>
      <c r="AQ6" s="105"/>
      <c r="AR6" s="1"/>
      <c r="AS6" s="105"/>
    </row>
    <row r="7" spans="1:49" ht="17" thickBot="1" x14ac:dyDescent="0.25">
      <c r="A7" s="4" t="s">
        <v>36</v>
      </c>
      <c r="B7" s="70" t="s">
        <v>3</v>
      </c>
      <c r="C7" s="12">
        <v>733570</v>
      </c>
      <c r="D7" s="12">
        <f>SUM(D4:D6)</f>
        <v>184202</v>
      </c>
      <c r="E7" s="12">
        <f t="shared" ref="E7:X7" si="3">SUM(E4:E6)</f>
        <v>189103</v>
      </c>
      <c r="F7" s="12">
        <f t="shared" si="3"/>
        <v>179954</v>
      </c>
      <c r="G7" s="12">
        <f t="shared" si="3"/>
        <v>203297</v>
      </c>
      <c r="H7" s="12">
        <f t="shared" si="3"/>
        <v>756556</v>
      </c>
      <c r="I7" s="12">
        <f t="shared" si="3"/>
        <v>205679</v>
      </c>
      <c r="J7" s="12">
        <f t="shared" si="3"/>
        <v>206142</v>
      </c>
      <c r="K7" s="12">
        <f t="shared" si="3"/>
        <v>216086</v>
      </c>
      <c r="L7" s="12">
        <f t="shared" si="3"/>
        <v>233841</v>
      </c>
      <c r="M7" s="12">
        <f t="shared" si="3"/>
        <v>861748</v>
      </c>
      <c r="N7" s="12">
        <f t="shared" si="3"/>
        <v>244432</v>
      </c>
      <c r="O7" s="12">
        <f t="shared" si="3"/>
        <v>243549</v>
      </c>
      <c r="P7" s="12">
        <f t="shared" si="3"/>
        <v>249219</v>
      </c>
      <c r="Q7" s="12">
        <f t="shared" si="3"/>
        <v>262387</v>
      </c>
      <c r="R7" s="12">
        <f t="shared" ref="R7" si="4">SUM(R4:R6)</f>
        <v>999587</v>
      </c>
      <c r="S7" s="12">
        <f t="shared" si="3"/>
        <v>287597</v>
      </c>
      <c r="T7" s="12">
        <f t="shared" si="3"/>
        <v>299928</v>
      </c>
      <c r="U7" s="12">
        <f t="shared" si="3"/>
        <v>300432</v>
      </c>
      <c r="V7" s="12">
        <f t="shared" si="3"/>
        <v>311817</v>
      </c>
      <c r="W7" s="12">
        <f t="shared" si="3"/>
        <v>1199774</v>
      </c>
      <c r="X7" s="12">
        <f t="shared" si="3"/>
        <v>330845</v>
      </c>
      <c r="Y7" s="12">
        <f>SUM(Y4:Y6)</f>
        <v>325835</v>
      </c>
      <c r="Z7" s="12">
        <f>SUM(Z4:Z6)</f>
        <v>322164</v>
      </c>
      <c r="AA7"/>
      <c r="AB7"/>
      <c r="AC7"/>
      <c r="AD7"/>
      <c r="AE7"/>
      <c r="AF7"/>
      <c r="AG7"/>
      <c r="AH7"/>
      <c r="AI7"/>
      <c r="AK7" s="1"/>
      <c r="AM7" s="105"/>
      <c r="AN7" s="105"/>
      <c r="AO7" s="1"/>
      <c r="AP7" s="105"/>
      <c r="AQ7" s="105"/>
      <c r="AR7" s="1"/>
      <c r="AS7" s="105"/>
    </row>
    <row r="8" spans="1:49" ht="17" thickTop="1" x14ac:dyDescent="0.2">
      <c r="B8" s="71" t="s">
        <v>57</v>
      </c>
      <c r="C8" s="35"/>
      <c r="D8" s="35"/>
      <c r="E8" s="35">
        <f>(E7-D7)/D7</f>
        <v>2.6606660079695116E-2</v>
      </c>
      <c r="F8" s="35">
        <f t="shared" ref="F8" si="5">(F7-E7)/E7</f>
        <v>-4.8381041019973245E-2</v>
      </c>
      <c r="G8" s="35">
        <f>(G7-F7)/F7</f>
        <v>0.12971648310123698</v>
      </c>
      <c r="H8" s="35">
        <f>(H7-C7)/C7</f>
        <v>3.1334432978447867E-2</v>
      </c>
      <c r="I8" s="35">
        <f t="shared" ref="I8:W8" si="6">(I7-D7)/D7</f>
        <v>0.1165948252461971</v>
      </c>
      <c r="J8" s="35">
        <f t="shared" si="6"/>
        <v>9.0104334674753969E-2</v>
      </c>
      <c r="K8" s="35">
        <f t="shared" si="6"/>
        <v>0.20078464496482434</v>
      </c>
      <c r="L8" s="35">
        <f t="shared" si="6"/>
        <v>0.15024324018554136</v>
      </c>
      <c r="M8" s="35">
        <f t="shared" si="6"/>
        <v>0.13904059977053912</v>
      </c>
      <c r="N8" s="35">
        <f t="shared" si="6"/>
        <v>0.18841495728781257</v>
      </c>
      <c r="O8" s="35">
        <f t="shared" si="6"/>
        <v>0.18146229298250721</v>
      </c>
      <c r="P8" s="35">
        <f t="shared" si="6"/>
        <v>0.15333246947974419</v>
      </c>
      <c r="Q8" s="35">
        <f t="shared" si="6"/>
        <v>0.12207440098186374</v>
      </c>
      <c r="R8" s="35">
        <f t="shared" si="6"/>
        <v>0.15995279362412212</v>
      </c>
      <c r="S8" s="35">
        <f t="shared" si="6"/>
        <v>0.17659308110231067</v>
      </c>
      <c r="T8" s="35">
        <f t="shared" si="6"/>
        <v>0.23148935121885122</v>
      </c>
      <c r="U8" s="35">
        <f t="shared" si="6"/>
        <v>0.20549396314085203</v>
      </c>
      <c r="V8" s="35">
        <f t="shared" si="6"/>
        <v>0.18838585753105147</v>
      </c>
      <c r="W8" s="35">
        <f t="shared" si="6"/>
        <v>0.20026971139080441</v>
      </c>
      <c r="X8" s="35">
        <f>(X7-V7)/V7</f>
        <v>6.1022971807181775E-2</v>
      </c>
      <c r="Y8" s="35">
        <f>(Y7-X7)/X7</f>
        <v>-1.5143042814611072E-2</v>
      </c>
      <c r="Z8" s="35">
        <f>(Z7-Y7)/Y7</f>
        <v>-1.1266438534841255E-2</v>
      </c>
      <c r="AA8"/>
      <c r="AB8"/>
      <c r="AC8"/>
      <c r="AD8"/>
      <c r="AE8"/>
      <c r="AF8"/>
      <c r="AG8"/>
      <c r="AH8"/>
      <c r="AI8"/>
      <c r="AK8" s="1"/>
      <c r="AM8" s="105"/>
      <c r="AN8" s="105"/>
      <c r="AO8" s="105"/>
      <c r="AP8" s="105"/>
    </row>
    <row r="9" spans="1:49" ht="16" x14ac:dyDescent="0.2">
      <c r="B9" s="23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/>
      <c r="AB9"/>
      <c r="AC9"/>
      <c r="AD9"/>
      <c r="AE9"/>
      <c r="AF9"/>
      <c r="AG9"/>
      <c r="AH9"/>
      <c r="AI9"/>
      <c r="AK9" s="1"/>
      <c r="AM9" s="105"/>
      <c r="AN9" s="105"/>
      <c r="AO9" s="1"/>
      <c r="AP9" s="105"/>
      <c r="AQ9" s="105"/>
      <c r="AR9" s="1"/>
      <c r="AS9" s="105"/>
    </row>
    <row r="10" spans="1:49" ht="16" x14ac:dyDescent="0.2">
      <c r="B10" s="23" t="s">
        <v>5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108"/>
      <c r="U10" s="99"/>
      <c r="V10" s="99"/>
      <c r="W10" s="99"/>
      <c r="X10" s="99"/>
      <c r="Y10" s="99"/>
      <c r="Z10" s="99"/>
      <c r="AA10"/>
      <c r="AB10"/>
      <c r="AC10"/>
      <c r="AD10"/>
      <c r="AE10"/>
      <c r="AF10"/>
      <c r="AG10"/>
      <c r="AH10"/>
      <c r="AI10"/>
      <c r="AK10" s="1"/>
      <c r="AM10" s="105"/>
      <c r="AN10" s="105"/>
      <c r="AO10" s="1"/>
      <c r="AP10" s="105"/>
      <c r="AQ10" s="105"/>
      <c r="AR10" s="1"/>
      <c r="AS10" s="105"/>
    </row>
    <row r="11" spans="1:49" ht="16" x14ac:dyDescent="0.2">
      <c r="B11" s="23" t="s">
        <v>20</v>
      </c>
      <c r="C11" s="99">
        <v>280214</v>
      </c>
      <c r="D11" s="99">
        <v>70632</v>
      </c>
      <c r="E11" s="99">
        <v>67334</v>
      </c>
      <c r="F11" s="99">
        <v>66217</v>
      </c>
      <c r="G11" s="99">
        <f>'annual IS'!D12-SUM('quarterly IS'!D11:F11)</f>
        <v>86119</v>
      </c>
      <c r="H11" s="99">
        <f>SUM(D11:G11)</f>
        <v>290302</v>
      </c>
      <c r="I11" s="99">
        <v>80874</v>
      </c>
      <c r="J11" s="99">
        <v>74914</v>
      </c>
      <c r="K11" s="99">
        <v>76493</v>
      </c>
      <c r="L11" s="99">
        <f>'annual IS'!E12-SUM('quarterly IS'!I11:K11)</f>
        <v>86235</v>
      </c>
      <c r="M11" s="99">
        <f>SUM(I11:L11)</f>
        <v>318516</v>
      </c>
      <c r="N11" s="99">
        <v>80873</v>
      </c>
      <c r="O11" s="99">
        <v>76904</v>
      </c>
      <c r="P11" s="99">
        <v>75721</v>
      </c>
      <c r="Q11" s="99">
        <f>'annual IS'!F12-SUM('quarterly IS'!N11:P11)</f>
        <v>83859</v>
      </c>
      <c r="R11" s="99">
        <f>SUM(N11:Q11)</f>
        <v>317357</v>
      </c>
      <c r="S11" s="99">
        <v>82347</v>
      </c>
      <c r="T11" s="99">
        <v>76915</v>
      </c>
      <c r="U11" s="99">
        <v>86860</v>
      </c>
      <c r="V11" s="99">
        <f>'annual IS'!G12-SUM('quarterly IS'!S11:U11)</f>
        <v>105466</v>
      </c>
      <c r="W11" s="99">
        <f>SUM(S11:V11)</f>
        <v>351588</v>
      </c>
      <c r="X11" s="99">
        <v>88005</v>
      </c>
      <c r="Y11" s="99">
        <v>75156</v>
      </c>
      <c r="Z11" s="99">
        <v>76889</v>
      </c>
      <c r="AA11"/>
      <c r="AB11"/>
      <c r="AC11"/>
      <c r="AD11"/>
      <c r="AE11"/>
      <c r="AF11"/>
      <c r="AG11"/>
      <c r="AH11"/>
      <c r="AI11"/>
      <c r="AK11" s="1"/>
      <c r="AM11" s="105"/>
      <c r="AN11" s="105"/>
      <c r="AO11" s="1"/>
      <c r="AP11" s="105"/>
      <c r="AQ11" s="105"/>
      <c r="AR11" s="1"/>
      <c r="AS11" s="105"/>
    </row>
    <row r="12" spans="1:49" ht="16" x14ac:dyDescent="0.2">
      <c r="B12" s="23" t="s">
        <v>21</v>
      </c>
      <c r="C12" s="99">
        <v>19574</v>
      </c>
      <c r="D12" s="99">
        <v>5009</v>
      </c>
      <c r="E12" s="99">
        <v>4824</v>
      </c>
      <c r="F12" s="99">
        <v>5734</v>
      </c>
      <c r="G12" s="99">
        <f>'annual IS'!D13-SUM('quarterly IS'!D12:F12)</f>
        <v>6300</v>
      </c>
      <c r="H12" s="99">
        <f>SUM(D12:G12)</f>
        <v>21867</v>
      </c>
      <c r="I12" s="99">
        <v>6641</v>
      </c>
      <c r="J12" s="99">
        <v>7090</v>
      </c>
      <c r="K12" s="99">
        <v>6812</v>
      </c>
      <c r="L12" s="99">
        <f>'annual IS'!E13-SUM('quarterly IS'!I12:K12)</f>
        <v>5558</v>
      </c>
      <c r="M12" s="99">
        <f t="shared" ref="M12:M13" si="7">SUM(I12:L12)</f>
        <v>26101</v>
      </c>
      <c r="N12" s="99">
        <v>8038</v>
      </c>
      <c r="O12" s="99">
        <v>8037</v>
      </c>
      <c r="P12" s="99">
        <v>8029</v>
      </c>
      <c r="Q12" s="99">
        <f>'annual IS'!F13-SUM('quarterly IS'!N12:P12)</f>
        <v>8398</v>
      </c>
      <c r="R12" s="99">
        <f t="shared" ref="R12:R13" si="8">SUM(N12:Q12)</f>
        <v>32502</v>
      </c>
      <c r="S12" s="99">
        <v>9057</v>
      </c>
      <c r="T12" s="99">
        <v>10108</v>
      </c>
      <c r="U12" s="99">
        <v>10241</v>
      </c>
      <c r="V12" s="99">
        <f>'annual IS'!G13-SUM('quarterly IS'!S12:U12)</f>
        <v>10269</v>
      </c>
      <c r="W12" s="99">
        <f t="shared" ref="W12:W13" si="9">SUM(S12:V12)</f>
        <v>39675</v>
      </c>
      <c r="X12" s="99">
        <v>10747</v>
      </c>
      <c r="Y12" s="99">
        <v>11137</v>
      </c>
      <c r="Z12" s="99">
        <v>10879</v>
      </c>
      <c r="AA12"/>
      <c r="AB12"/>
      <c r="AC12"/>
      <c r="AD12"/>
      <c r="AE12"/>
      <c r="AF12"/>
      <c r="AG12"/>
      <c r="AH12"/>
      <c r="AI12"/>
      <c r="AK12" s="1"/>
      <c r="AM12" s="105"/>
      <c r="AN12" s="105"/>
      <c r="AO12" s="1"/>
      <c r="AP12" s="105"/>
      <c r="AQ12" s="105"/>
      <c r="AR12" s="1"/>
      <c r="AS12" s="105"/>
    </row>
    <row r="13" spans="1:49" ht="16" x14ac:dyDescent="0.2">
      <c r="B13" s="23" t="s">
        <v>22</v>
      </c>
      <c r="C13" s="99">
        <v>18448</v>
      </c>
      <c r="D13" s="99">
        <v>5445</v>
      </c>
      <c r="E13" s="99">
        <v>4974</v>
      </c>
      <c r="F13" s="99">
        <v>4683</v>
      </c>
      <c r="G13" s="99">
        <f>'annual IS'!D14-SUM('quarterly IS'!D13:F13)</f>
        <v>5579</v>
      </c>
      <c r="H13" s="99">
        <f>SUM(D13:G13)</f>
        <v>20681</v>
      </c>
      <c r="I13" s="99">
        <v>6991</v>
      </c>
      <c r="J13" s="99">
        <v>6326</v>
      </c>
      <c r="K13" s="99">
        <v>5923</v>
      </c>
      <c r="L13" s="99">
        <f>'annual IS'!E14-SUM('quarterly IS'!I13:K13)</f>
        <v>5956</v>
      </c>
      <c r="M13" s="99">
        <f t="shared" si="7"/>
        <v>25196</v>
      </c>
      <c r="N13" s="99">
        <v>7051</v>
      </c>
      <c r="O13" s="99">
        <v>6943</v>
      </c>
      <c r="P13" s="99">
        <v>6287</v>
      </c>
      <c r="Q13" s="99">
        <f>'annual IS'!F14-SUM('quarterly IS'!N13:P13)</f>
        <v>6810</v>
      </c>
      <c r="R13" s="99">
        <f t="shared" si="8"/>
        <v>27091</v>
      </c>
      <c r="S13" s="99">
        <v>9055</v>
      </c>
      <c r="T13" s="99">
        <v>8853</v>
      </c>
      <c r="U13" s="99">
        <v>6305</v>
      </c>
      <c r="V13" s="99">
        <f>'annual IS'!G14-SUM('quarterly IS'!S13:U13)</f>
        <v>7039</v>
      </c>
      <c r="W13" s="99">
        <f t="shared" si="9"/>
        <v>31252</v>
      </c>
      <c r="X13" s="99">
        <v>7781</v>
      </c>
      <c r="Y13" s="99">
        <v>6947</v>
      </c>
      <c r="Z13" s="99">
        <v>6333</v>
      </c>
      <c r="AA13"/>
      <c r="AB13"/>
      <c r="AC13"/>
      <c r="AD13"/>
      <c r="AE13"/>
      <c r="AF13"/>
      <c r="AG13"/>
      <c r="AH13"/>
      <c r="AI13"/>
      <c r="AK13" s="1"/>
      <c r="AM13" s="105"/>
      <c r="AN13" s="105"/>
      <c r="AO13" s="1"/>
      <c r="AP13" s="105"/>
      <c r="AQ13" s="105"/>
      <c r="AR13" s="1"/>
      <c r="AS13" s="105"/>
    </row>
    <row r="14" spans="1:49" ht="16" x14ac:dyDescent="0.2">
      <c r="B14" s="11" t="s">
        <v>23</v>
      </c>
      <c r="C14" s="102">
        <f t="shared" ref="C14:X14" si="10">SUM(C11:C13)</f>
        <v>318236</v>
      </c>
      <c r="D14" s="102">
        <f>SUM(D11:D13)</f>
        <v>81086</v>
      </c>
      <c r="E14" s="102">
        <f t="shared" si="10"/>
        <v>77132</v>
      </c>
      <c r="F14" s="102">
        <f t="shared" si="10"/>
        <v>76634</v>
      </c>
      <c r="G14" s="102">
        <f t="shared" si="10"/>
        <v>97998</v>
      </c>
      <c r="H14" s="102">
        <f t="shared" si="10"/>
        <v>332850</v>
      </c>
      <c r="I14" s="102">
        <f t="shared" si="10"/>
        <v>94506</v>
      </c>
      <c r="J14" s="102">
        <f t="shared" si="10"/>
        <v>88330</v>
      </c>
      <c r="K14" s="102">
        <f t="shared" si="10"/>
        <v>89228</v>
      </c>
      <c r="L14" s="102">
        <f t="shared" si="10"/>
        <v>97749</v>
      </c>
      <c r="M14" s="102">
        <f t="shared" si="10"/>
        <v>369813</v>
      </c>
      <c r="N14" s="102">
        <f t="shared" si="10"/>
        <v>95962</v>
      </c>
      <c r="O14" s="102">
        <f t="shared" si="10"/>
        <v>91884</v>
      </c>
      <c r="P14" s="102">
        <f t="shared" si="10"/>
        <v>90037</v>
      </c>
      <c r="Q14" s="102">
        <f t="shared" si="10"/>
        <v>99067</v>
      </c>
      <c r="R14" s="102">
        <f t="shared" ref="R14" si="11">SUM(R11:R13)</f>
        <v>376950</v>
      </c>
      <c r="S14" s="102">
        <f t="shared" si="10"/>
        <v>100459</v>
      </c>
      <c r="T14" s="102">
        <f t="shared" si="10"/>
        <v>95876</v>
      </c>
      <c r="U14" s="102">
        <f t="shared" si="10"/>
        <v>103406</v>
      </c>
      <c r="V14" s="102">
        <f t="shared" si="10"/>
        <v>122774</v>
      </c>
      <c r="W14" s="102">
        <f t="shared" si="10"/>
        <v>422515</v>
      </c>
      <c r="X14" s="102">
        <f t="shared" si="10"/>
        <v>106533</v>
      </c>
      <c r="Y14" s="102">
        <f>SUM(Y11:Y13)</f>
        <v>93240</v>
      </c>
      <c r="Z14" s="102">
        <f>SUM(Z11:Z13)</f>
        <v>94101</v>
      </c>
      <c r="AA14"/>
      <c r="AB14"/>
      <c r="AC14"/>
      <c r="AD14"/>
      <c r="AE14"/>
      <c r="AF14"/>
      <c r="AG14"/>
      <c r="AH14"/>
      <c r="AI14"/>
      <c r="AK14" s="1"/>
      <c r="AM14" s="105"/>
      <c r="AN14" s="105"/>
      <c r="AO14" s="105"/>
      <c r="AP14" s="105"/>
    </row>
    <row r="15" spans="1:49" ht="17" thickBot="1" x14ac:dyDescent="0.25">
      <c r="A15" s="4" t="s">
        <v>36</v>
      </c>
      <c r="B15" s="70" t="s">
        <v>27</v>
      </c>
      <c r="C15" s="12">
        <f t="shared" ref="C15:X15" si="12">C7-C14</f>
        <v>415334</v>
      </c>
      <c r="D15" s="12">
        <f>D7-D14</f>
        <v>103116</v>
      </c>
      <c r="E15" s="12">
        <f t="shared" si="12"/>
        <v>111971</v>
      </c>
      <c r="F15" s="12">
        <f t="shared" si="12"/>
        <v>103320</v>
      </c>
      <c r="G15" s="12">
        <f t="shared" si="12"/>
        <v>105299</v>
      </c>
      <c r="H15" s="12">
        <f t="shared" si="12"/>
        <v>423706</v>
      </c>
      <c r="I15" s="12">
        <f t="shared" si="12"/>
        <v>111173</v>
      </c>
      <c r="J15" s="12">
        <f t="shared" si="12"/>
        <v>117812</v>
      </c>
      <c r="K15" s="12">
        <f t="shared" si="12"/>
        <v>126858</v>
      </c>
      <c r="L15" s="12">
        <f t="shared" si="12"/>
        <v>136092</v>
      </c>
      <c r="M15" s="12">
        <f t="shared" si="12"/>
        <v>491935</v>
      </c>
      <c r="N15" s="12">
        <f t="shared" si="12"/>
        <v>148470</v>
      </c>
      <c r="O15" s="12">
        <f t="shared" si="12"/>
        <v>151665</v>
      </c>
      <c r="P15" s="12">
        <f t="shared" si="12"/>
        <v>159182</v>
      </c>
      <c r="Q15" s="12">
        <f t="shared" si="12"/>
        <v>163320</v>
      </c>
      <c r="R15" s="12">
        <f t="shared" ref="R15" si="13">R7-R14</f>
        <v>622637</v>
      </c>
      <c r="S15" s="12">
        <f t="shared" si="12"/>
        <v>187138</v>
      </c>
      <c r="T15" s="12">
        <f t="shared" si="12"/>
        <v>204052</v>
      </c>
      <c r="U15" s="12">
        <f t="shared" si="12"/>
        <v>197026</v>
      </c>
      <c r="V15" s="12">
        <f t="shared" si="12"/>
        <v>189043</v>
      </c>
      <c r="W15" s="12">
        <f t="shared" si="12"/>
        <v>777259</v>
      </c>
      <c r="X15" s="12">
        <f t="shared" si="12"/>
        <v>224312</v>
      </c>
      <c r="Y15" s="12">
        <f>Y7-Y14</f>
        <v>232595</v>
      </c>
      <c r="Z15" s="12">
        <f>Z7-Z14</f>
        <v>228063</v>
      </c>
      <c r="AA15"/>
      <c r="AB15"/>
      <c r="AC15"/>
      <c r="AD15"/>
      <c r="AE15"/>
      <c r="AF15"/>
      <c r="AG15"/>
      <c r="AH15"/>
      <c r="AI15"/>
      <c r="AK15" s="1"/>
      <c r="AM15" s="105"/>
      <c r="AN15" s="105"/>
      <c r="AO15" s="1"/>
      <c r="AP15" s="105"/>
      <c r="AQ15" s="105"/>
      <c r="AR15" s="1"/>
      <c r="AS15" s="105"/>
    </row>
    <row r="16" spans="1:49" ht="17" thickTop="1" x14ac:dyDescent="0.2">
      <c r="B16" s="23" t="s">
        <v>35</v>
      </c>
      <c r="C16" s="3">
        <f t="shared" ref="C16:X16" si="14">C15/C7</f>
        <v>0.56618182313889609</v>
      </c>
      <c r="D16" s="3">
        <f>D15/D7</f>
        <v>0.55979848210117156</v>
      </c>
      <c r="E16" s="3">
        <f t="shared" si="14"/>
        <v>0.59211646562984199</v>
      </c>
      <c r="F16" s="3">
        <f t="shared" si="14"/>
        <v>0.57414672638563191</v>
      </c>
      <c r="G16" s="3">
        <f t="shared" si="14"/>
        <v>0.51795648730674826</v>
      </c>
      <c r="H16" s="3">
        <f t="shared" si="14"/>
        <v>0.56004578643220071</v>
      </c>
      <c r="I16" s="3">
        <f t="shared" si="14"/>
        <v>0.54051701923871665</v>
      </c>
      <c r="J16" s="3">
        <f t="shared" si="14"/>
        <v>0.57150895984321493</v>
      </c>
      <c r="K16" s="3">
        <f t="shared" si="14"/>
        <v>0.58707181399998154</v>
      </c>
      <c r="L16" s="3">
        <f t="shared" si="14"/>
        <v>0.58198519506844393</v>
      </c>
      <c r="M16" s="3">
        <f t="shared" si="14"/>
        <v>0.57085714153093481</v>
      </c>
      <c r="N16" s="3">
        <f t="shared" si="14"/>
        <v>0.60740819532630752</v>
      </c>
      <c r="O16" s="3">
        <f t="shared" si="14"/>
        <v>0.62272889644383678</v>
      </c>
      <c r="P16" s="3">
        <f t="shared" si="14"/>
        <v>0.63872337181354555</v>
      </c>
      <c r="Q16" s="3">
        <f t="shared" si="14"/>
        <v>0.62243937390190829</v>
      </c>
      <c r="R16" s="3">
        <f t="shared" ref="R16" si="15">R15/R7</f>
        <v>0.62289425532745024</v>
      </c>
      <c r="S16" s="3">
        <f t="shared" si="14"/>
        <v>0.65069524369169363</v>
      </c>
      <c r="T16" s="3">
        <f t="shared" si="14"/>
        <v>0.68033661412072233</v>
      </c>
      <c r="U16" s="3">
        <f t="shared" si="14"/>
        <v>0.6558089684188102</v>
      </c>
      <c r="V16" s="3">
        <f t="shared" si="14"/>
        <v>0.60626264764268789</v>
      </c>
      <c r="W16" s="3">
        <f t="shared" si="14"/>
        <v>0.64783784279372614</v>
      </c>
      <c r="X16" s="3">
        <f t="shared" si="14"/>
        <v>0.67799724946727324</v>
      </c>
      <c r="Y16" s="3">
        <f>Y15/Y7</f>
        <v>0.71384289594426631</v>
      </c>
      <c r="Z16" s="3">
        <f>Z15/Z7</f>
        <v>0.70790963608596869</v>
      </c>
      <c r="AA16"/>
      <c r="AB16"/>
      <c r="AC16"/>
      <c r="AD16"/>
      <c r="AE16"/>
      <c r="AF16"/>
      <c r="AG16"/>
      <c r="AH16"/>
      <c r="AI16"/>
      <c r="AK16" s="1"/>
      <c r="AM16" s="105"/>
      <c r="AN16" s="105"/>
      <c r="AO16" s="1"/>
      <c r="AP16" s="105"/>
      <c r="AQ16" s="105"/>
      <c r="AR16" s="1"/>
      <c r="AS16" s="105"/>
    </row>
    <row r="17" spans="1:49" ht="16" x14ac:dyDescent="0.2">
      <c r="B17" s="23" t="s">
        <v>58</v>
      </c>
      <c r="C17" s="35"/>
      <c r="D17" s="3"/>
      <c r="E17" s="35">
        <f>(E16-D16)/D16</f>
        <v>5.7731459734164936E-2</v>
      </c>
      <c r="F17" s="35">
        <f t="shared" ref="F17" si="16">(F16-E16)/E16</f>
        <v>-3.0348318763767927E-2</v>
      </c>
      <c r="G17" s="35">
        <f>(G16-F16)/F16</f>
        <v>-9.7867385629127251E-2</v>
      </c>
      <c r="H17" s="35">
        <f>(H16-C16)/C16</f>
        <v>-1.0837572765366019E-2</v>
      </c>
      <c r="I17" s="35">
        <f t="shared" ref="I17:W17" si="17">(I16-D16)/D16</f>
        <v>-3.4443578321404239E-2</v>
      </c>
      <c r="J17" s="35">
        <f t="shared" si="17"/>
        <v>-3.480312908492858E-2</v>
      </c>
      <c r="K17" s="35">
        <f t="shared" si="17"/>
        <v>2.2511819749832296E-2</v>
      </c>
      <c r="L17" s="35">
        <f t="shared" si="17"/>
        <v>0.12361792801289133</v>
      </c>
      <c r="M17" s="35">
        <f t="shared" si="17"/>
        <v>1.9304412890253794E-2</v>
      </c>
      <c r="N17" s="35">
        <f t="shared" si="17"/>
        <v>0.12375406084678478</v>
      </c>
      <c r="O17" s="35">
        <f t="shared" si="17"/>
        <v>8.9622281013185312E-2</v>
      </c>
      <c r="P17" s="35">
        <f t="shared" si="17"/>
        <v>8.7981668650789005E-2</v>
      </c>
      <c r="Q17" s="35">
        <f t="shared" si="17"/>
        <v>6.9510666553479553E-2</v>
      </c>
      <c r="R17" s="35">
        <f t="shared" si="17"/>
        <v>9.1156105460923856E-2</v>
      </c>
      <c r="S17" s="35">
        <f t="shared" si="17"/>
        <v>7.1265170108763098E-2</v>
      </c>
      <c r="T17" s="35">
        <f t="shared" si="17"/>
        <v>9.2508502505441584E-2</v>
      </c>
      <c r="U17" s="35">
        <f t="shared" si="17"/>
        <v>2.6749602972493444E-2</v>
      </c>
      <c r="V17" s="35">
        <f t="shared" si="17"/>
        <v>-2.598923997659847E-2</v>
      </c>
      <c r="W17" s="35">
        <f t="shared" si="17"/>
        <v>4.0044658066662152E-2</v>
      </c>
      <c r="X17" s="35">
        <f>(X16-V16)/V16</f>
        <v>0.11832264795383447</v>
      </c>
      <c r="Y17" s="35">
        <f>(Y16-X16)/X16</f>
        <v>5.2869899553660837E-2</v>
      </c>
      <c r="Z17" s="35">
        <f>(Z16-Y16)/Y16</f>
        <v>-8.311716614408762E-3</v>
      </c>
      <c r="AA17"/>
      <c r="AB17"/>
      <c r="AC17"/>
      <c r="AD17"/>
      <c r="AE17"/>
      <c r="AF17"/>
      <c r="AG17"/>
      <c r="AH17"/>
      <c r="AI17"/>
      <c r="AK17" s="1"/>
      <c r="AM17" s="105"/>
      <c r="AN17" s="105"/>
      <c r="AO17" s="1"/>
      <c r="AP17" s="105"/>
      <c r="AQ17" s="105"/>
      <c r="AR17" s="1"/>
      <c r="AS17" s="105"/>
    </row>
    <row r="18" spans="1:49" ht="16" x14ac:dyDescent="0.2">
      <c r="B18" s="70" t="s">
        <v>4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/>
      <c r="AB18"/>
      <c r="AC18"/>
      <c r="AD18"/>
      <c r="AE18"/>
      <c r="AF18"/>
      <c r="AG18"/>
      <c r="AH18"/>
      <c r="AI18"/>
      <c r="AK18" s="1"/>
      <c r="AM18" s="105"/>
      <c r="AN18" s="105"/>
      <c r="AO18" s="1"/>
      <c r="AP18" s="105"/>
      <c r="AQ18" s="105"/>
      <c r="AR18" s="1"/>
      <c r="AS18" s="105"/>
    </row>
    <row r="19" spans="1:49" ht="16" x14ac:dyDescent="0.2">
      <c r="B19" s="23" t="s">
        <v>24</v>
      </c>
      <c r="C19" s="99">
        <v>49964</v>
      </c>
      <c r="D19" s="99">
        <v>14086</v>
      </c>
      <c r="E19" s="99">
        <v>15476</v>
      </c>
      <c r="F19" s="99">
        <v>12726</v>
      </c>
      <c r="G19" s="99">
        <f>'annual IS'!D20-SUM('quarterly IS'!D19:F19)</f>
        <v>16317</v>
      </c>
      <c r="H19" s="99">
        <f>SUM(D19:G19)</f>
        <v>58605</v>
      </c>
      <c r="I19" s="99">
        <v>16560</v>
      </c>
      <c r="J19" s="99">
        <v>15843</v>
      </c>
      <c r="K19" s="99">
        <v>17245</v>
      </c>
      <c r="L19" s="99">
        <f>'annual IS'!E20-SUM('quarterly IS'!I19:K19)</f>
        <v>19201</v>
      </c>
      <c r="M19" s="99">
        <f>SUM(I19:L19)</f>
        <v>68849</v>
      </c>
      <c r="N19" s="99">
        <v>19935</v>
      </c>
      <c r="O19" s="99">
        <v>19123</v>
      </c>
      <c r="P19" s="99">
        <v>19656</v>
      </c>
      <c r="Q19" s="99">
        <f>'annual IS'!F20-SUM('quarterly IS'!N19:P19)</f>
        <v>20559</v>
      </c>
      <c r="R19" s="99">
        <f>SUM(N19:Q19)</f>
        <v>79273</v>
      </c>
      <c r="S19" s="99">
        <v>23494</v>
      </c>
      <c r="T19" s="99">
        <v>21525</v>
      </c>
      <c r="U19" s="99">
        <v>22636</v>
      </c>
      <c r="V19" s="99">
        <f>'annual IS'!G20-SUM('quarterly IS'!S19:U19)</f>
        <v>23084</v>
      </c>
      <c r="W19" s="99">
        <f>SUM(S19:V19)</f>
        <v>90739</v>
      </c>
      <c r="X19" s="99">
        <v>25984</v>
      </c>
      <c r="Y19" s="99">
        <v>19922</v>
      </c>
      <c r="Z19" s="99">
        <v>24411</v>
      </c>
      <c r="AA19"/>
      <c r="AB19"/>
      <c r="AC19"/>
      <c r="AD19"/>
      <c r="AE19"/>
      <c r="AF19"/>
      <c r="AG19"/>
      <c r="AH19"/>
      <c r="AI19"/>
      <c r="AK19" s="1"/>
      <c r="AM19" s="105"/>
      <c r="AN19" s="105"/>
      <c r="AO19" s="1"/>
      <c r="AP19" s="105"/>
      <c r="AQ19" s="105"/>
      <c r="AR19" s="1"/>
      <c r="AS19" s="105"/>
    </row>
    <row r="20" spans="1:49" ht="16" x14ac:dyDescent="0.2">
      <c r="B20" s="23" t="s">
        <v>25</v>
      </c>
      <c r="C20" s="99">
        <v>124809</v>
      </c>
      <c r="D20" s="99">
        <v>35469</v>
      </c>
      <c r="E20" s="99">
        <v>37898</v>
      </c>
      <c r="F20" s="99">
        <v>38070</v>
      </c>
      <c r="G20" s="99">
        <f>'annual IS'!D21-SUM('quarterly IS'!D20:F20)</f>
        <v>45927</v>
      </c>
      <c r="H20" s="99">
        <f>SUM(D20:G20)</f>
        <v>157364</v>
      </c>
      <c r="I20" s="99">
        <v>45183</v>
      </c>
      <c r="J20" s="99">
        <v>46580</v>
      </c>
      <c r="K20" s="99">
        <v>48890</v>
      </c>
      <c r="L20" s="99">
        <f>'annual IS'!E21-SUM('quarterly IS'!I20:K20)</f>
        <v>52722</v>
      </c>
      <c r="M20" s="99">
        <f t="shared" ref="M20:M23" si="18">SUM(I20:L20)</f>
        <v>193375</v>
      </c>
      <c r="N20" s="99">
        <v>53192</v>
      </c>
      <c r="O20" s="99">
        <v>54767</v>
      </c>
      <c r="P20" s="99">
        <v>55614</v>
      </c>
      <c r="Q20" s="99">
        <f>'annual IS'!F21-SUM('quarterly IS'!N20:P20)</f>
        <v>55238</v>
      </c>
      <c r="R20" s="99">
        <f t="shared" ref="R20:R23" si="19">SUM(N20:Q20)</f>
        <v>218811</v>
      </c>
      <c r="S20" s="99">
        <v>56090</v>
      </c>
      <c r="T20" s="99">
        <v>58580</v>
      </c>
      <c r="U20" s="99">
        <v>60189</v>
      </c>
      <c r="V20" s="99">
        <f>'annual IS'!G21-SUM('quarterly IS'!S20:U20)</f>
        <v>64654</v>
      </c>
      <c r="W20" s="99">
        <f t="shared" ref="W20:W23" si="20">SUM(S20:V20)</f>
        <v>239513</v>
      </c>
      <c r="X20" s="99">
        <v>61436</v>
      </c>
      <c r="Y20" s="99">
        <v>64804</v>
      </c>
      <c r="Z20" s="99">
        <v>65916</v>
      </c>
      <c r="AA20"/>
      <c r="AB20"/>
      <c r="AC20"/>
      <c r="AD20"/>
      <c r="AE20"/>
      <c r="AF20"/>
      <c r="AG20"/>
      <c r="AH20"/>
      <c r="AI20"/>
      <c r="AK20" s="1"/>
      <c r="AM20" s="105"/>
      <c r="AN20" s="105"/>
      <c r="AO20" s="1"/>
      <c r="AP20" s="105"/>
      <c r="AQ20" s="105"/>
      <c r="AR20" s="1"/>
      <c r="AS20" s="105"/>
    </row>
    <row r="21" spans="1:49" ht="16" x14ac:dyDescent="0.2">
      <c r="B21" s="11" t="s">
        <v>26</v>
      </c>
      <c r="C21" s="99">
        <v>84493</v>
      </c>
      <c r="D21" s="99">
        <v>20687</v>
      </c>
      <c r="E21" s="99">
        <v>22812</v>
      </c>
      <c r="F21" s="99">
        <v>20004</v>
      </c>
      <c r="G21" s="99">
        <f>'annual IS'!D22-SUM('quarterly IS'!D21:F21)</f>
        <v>20876</v>
      </c>
      <c r="H21" s="99">
        <f>SUM(D21:G21)</f>
        <v>84379</v>
      </c>
      <c r="I21" s="99">
        <v>23727</v>
      </c>
      <c r="J21" s="99">
        <v>25937</v>
      </c>
      <c r="K21" s="99">
        <v>25131</v>
      </c>
      <c r="L21" s="99">
        <f>'annual IS'!E22-SUM('quarterly IS'!I21:K21)</f>
        <v>22677</v>
      </c>
      <c r="M21" s="99">
        <f t="shared" si="18"/>
        <v>97472</v>
      </c>
      <c r="N21" s="99">
        <v>25538</v>
      </c>
      <c r="O21" s="99">
        <v>27825</v>
      </c>
      <c r="P21" s="99">
        <v>27153</v>
      </c>
      <c r="Q21" s="99">
        <f>'annual IS'!F22-SUM('quarterly IS'!N21:P21)</f>
        <v>23140</v>
      </c>
      <c r="R21" s="99">
        <f t="shared" si="19"/>
        <v>103656</v>
      </c>
      <c r="S21" s="99">
        <v>38236</v>
      </c>
      <c r="T21" s="99">
        <v>32260</v>
      </c>
      <c r="U21" s="99">
        <v>31789</v>
      </c>
      <c r="V21" s="99">
        <f>'annual IS'!G22-SUM('quarterly IS'!S21:U21)</f>
        <v>29975</v>
      </c>
      <c r="W21" s="99">
        <f t="shared" si="20"/>
        <v>132260</v>
      </c>
      <c r="X21" s="99">
        <v>25536</v>
      </c>
      <c r="Y21" s="99">
        <v>29990</v>
      </c>
      <c r="Z21" s="99">
        <v>30880</v>
      </c>
      <c r="AA21"/>
      <c r="AB21"/>
      <c r="AC21"/>
      <c r="AD21"/>
      <c r="AE21"/>
      <c r="AF21"/>
      <c r="AG21"/>
      <c r="AH21"/>
      <c r="AI21"/>
      <c r="AK21" s="1"/>
      <c r="AM21" s="105"/>
      <c r="AN21" s="105"/>
      <c r="AO21" s="1"/>
      <c r="AP21" s="105"/>
      <c r="AQ21" s="105"/>
      <c r="AR21" s="1"/>
      <c r="AS21" s="105"/>
    </row>
    <row r="22" spans="1:49" ht="16" x14ac:dyDescent="0.2">
      <c r="B22" s="23" t="s">
        <v>28</v>
      </c>
      <c r="C22" s="99">
        <v>76064</v>
      </c>
      <c r="D22" s="99">
        <v>19814</v>
      </c>
      <c r="E22" s="99">
        <v>20289</v>
      </c>
      <c r="F22" s="99">
        <v>19642</v>
      </c>
      <c r="G22" s="99">
        <f>'annual IS'!D23-SUM('quarterly IS'!D22:F22)</f>
        <v>23046</v>
      </c>
      <c r="H22" s="99">
        <f>SUM(D22:G22)</f>
        <v>82791</v>
      </c>
      <c r="I22" s="99">
        <v>23698</v>
      </c>
      <c r="J22" s="99">
        <v>24181</v>
      </c>
      <c r="K22" s="99">
        <v>23541</v>
      </c>
      <c r="L22" s="99">
        <f>'annual IS'!E23-SUM('quarterly IS'!I22:K22)</f>
        <v>23166</v>
      </c>
      <c r="M22" s="99">
        <f t="shared" si="18"/>
        <v>94586</v>
      </c>
      <c r="N22" s="99">
        <v>23166</v>
      </c>
      <c r="O22" s="99">
        <v>23166</v>
      </c>
      <c r="P22" s="99">
        <v>23213</v>
      </c>
      <c r="Q22" s="99">
        <f>'annual IS'!F23-SUM('quarterly IS'!N22:P22)</f>
        <v>23218</v>
      </c>
      <c r="R22" s="99">
        <f t="shared" si="19"/>
        <v>92763</v>
      </c>
      <c r="S22" s="99">
        <v>25545</v>
      </c>
      <c r="T22" s="99">
        <v>30981</v>
      </c>
      <c r="U22" s="99">
        <v>28350</v>
      </c>
      <c r="V22" s="99">
        <f>'annual IS'!G23-SUM('quarterly IS'!S22:U22)</f>
        <v>27002</v>
      </c>
      <c r="W22" s="99">
        <f t="shared" si="20"/>
        <v>111878</v>
      </c>
      <c r="X22" s="99">
        <v>27002</v>
      </c>
      <c r="Y22" s="99">
        <v>27001</v>
      </c>
      <c r="Z22" s="99">
        <v>27002</v>
      </c>
      <c r="AA22"/>
      <c r="AB22"/>
      <c r="AC22"/>
      <c r="AD22"/>
      <c r="AE22"/>
      <c r="AF22"/>
      <c r="AG22"/>
      <c r="AH22"/>
      <c r="AI22"/>
      <c r="AK22" s="1"/>
      <c r="AM22" s="105"/>
      <c r="AN22" s="105"/>
      <c r="AO22" s="105"/>
      <c r="AP22" s="105"/>
    </row>
    <row r="23" spans="1:49" ht="16" x14ac:dyDescent="0.2">
      <c r="B23" s="23" t="s">
        <v>29</v>
      </c>
      <c r="C23" s="99">
        <v>45990</v>
      </c>
      <c r="D23" s="99">
        <v>8807</v>
      </c>
      <c r="E23" s="99">
        <v>16371</v>
      </c>
      <c r="F23" s="99">
        <v>13244</v>
      </c>
      <c r="G23" s="99">
        <f>'annual IS'!D24-SUM('quarterly IS'!D23:F23)</f>
        <v>26383</v>
      </c>
      <c r="H23" s="99">
        <f>SUM(D23:G23)</f>
        <v>64805</v>
      </c>
      <c r="I23" s="99">
        <v>9294</v>
      </c>
      <c r="J23" s="99">
        <v>7683</v>
      </c>
      <c r="K23" s="99">
        <v>6509</v>
      </c>
      <c r="L23" s="99">
        <f>'annual IS'!E24-SUM('quarterly IS'!I23:K23)</f>
        <v>5110</v>
      </c>
      <c r="M23" s="99">
        <f t="shared" si="18"/>
        <v>28596</v>
      </c>
      <c r="N23" s="99">
        <v>3458</v>
      </c>
      <c r="O23" s="99">
        <v>2044</v>
      </c>
      <c r="P23" s="99">
        <v>2655</v>
      </c>
      <c r="Q23" s="99">
        <f>'annual IS'!F24-SUM('quarterly IS'!N23:P23)</f>
        <v>2278</v>
      </c>
      <c r="R23" s="99">
        <f t="shared" si="19"/>
        <v>10435</v>
      </c>
      <c r="S23" s="99">
        <v>2143</v>
      </c>
      <c r="T23" s="99">
        <v>1777</v>
      </c>
      <c r="U23" s="99">
        <v>34437</v>
      </c>
      <c r="V23" s="99">
        <f>'annual IS'!G24-SUM('quarterly IS'!S23:U23)</f>
        <v>2178</v>
      </c>
      <c r="W23" s="99">
        <f t="shared" si="20"/>
        <v>40535</v>
      </c>
      <c r="X23" s="99">
        <v>1275</v>
      </c>
      <c r="Y23" s="99">
        <v>1266</v>
      </c>
      <c r="Z23" s="99">
        <v>1159</v>
      </c>
      <c r="AA23"/>
      <c r="AB23"/>
      <c r="AC23"/>
      <c r="AD23"/>
      <c r="AE23"/>
      <c r="AF23"/>
      <c r="AG23"/>
      <c r="AH23"/>
      <c r="AI23"/>
      <c r="AK23" s="1"/>
      <c r="AM23" s="105"/>
      <c r="AN23" s="105"/>
      <c r="AO23" s="2"/>
      <c r="AP23" s="105"/>
      <c r="AQ23" s="105"/>
      <c r="AR23" s="1"/>
      <c r="AS23" s="105"/>
    </row>
    <row r="24" spans="1:49" ht="16" x14ac:dyDescent="0.2">
      <c r="B24" s="11" t="s">
        <v>6</v>
      </c>
      <c r="C24" s="102">
        <f t="shared" ref="C24" si="21">SUM(C19:C23)</f>
        <v>381320</v>
      </c>
      <c r="D24" s="102">
        <f>SUM(D19:D23)</f>
        <v>98863</v>
      </c>
      <c r="E24" s="102">
        <f t="shared" ref="E24:X24" si="22">SUM(E19:E23)</f>
        <v>112846</v>
      </c>
      <c r="F24" s="102">
        <f t="shared" si="22"/>
        <v>103686</v>
      </c>
      <c r="G24" s="102">
        <f t="shared" si="22"/>
        <v>132549</v>
      </c>
      <c r="H24" s="102">
        <f t="shared" ref="H24" si="23">SUM(H19:H23)</f>
        <v>447944</v>
      </c>
      <c r="I24" s="102">
        <f t="shared" si="22"/>
        <v>118462</v>
      </c>
      <c r="J24" s="102">
        <f t="shared" si="22"/>
        <v>120224</v>
      </c>
      <c r="K24" s="102">
        <f t="shared" si="22"/>
        <v>121316</v>
      </c>
      <c r="L24" s="102">
        <f t="shared" si="22"/>
        <v>122876</v>
      </c>
      <c r="M24" s="102">
        <f t="shared" si="22"/>
        <v>482878</v>
      </c>
      <c r="N24" s="102">
        <f t="shared" si="22"/>
        <v>125289</v>
      </c>
      <c r="O24" s="102">
        <f t="shared" si="22"/>
        <v>126925</v>
      </c>
      <c r="P24" s="102">
        <f>SUM(P19:P23)</f>
        <v>128291</v>
      </c>
      <c r="Q24" s="102">
        <f t="shared" si="22"/>
        <v>124433</v>
      </c>
      <c r="R24" s="102">
        <f t="shared" ref="R24" si="24">SUM(R19:R23)</f>
        <v>504938</v>
      </c>
      <c r="S24" s="102">
        <f t="shared" si="22"/>
        <v>145508</v>
      </c>
      <c r="T24" s="102">
        <f t="shared" si="22"/>
        <v>145123</v>
      </c>
      <c r="U24" s="102">
        <f t="shared" si="22"/>
        <v>177401</v>
      </c>
      <c r="V24" s="102">
        <f t="shared" si="22"/>
        <v>146893</v>
      </c>
      <c r="W24" s="102">
        <f t="shared" si="22"/>
        <v>614925</v>
      </c>
      <c r="X24" s="102">
        <f t="shared" si="22"/>
        <v>141233</v>
      </c>
      <c r="Y24" s="102">
        <f>SUM(Y19:Y23)</f>
        <v>142983</v>
      </c>
      <c r="Z24" s="102">
        <f>SUM(Z19:Z23)</f>
        <v>149368</v>
      </c>
      <c r="AA24"/>
      <c r="AB24"/>
      <c r="AC24"/>
      <c r="AD24"/>
      <c r="AE24"/>
      <c r="AF24"/>
      <c r="AG24"/>
      <c r="AH24"/>
      <c r="AI24"/>
      <c r="AK24" s="1"/>
      <c r="AM24" s="105"/>
      <c r="AN24" s="105"/>
      <c r="AO24" s="2"/>
      <c r="AP24" s="105"/>
      <c r="AQ24" s="105"/>
      <c r="AR24" s="2"/>
      <c r="AS24" s="105"/>
    </row>
    <row r="25" spans="1:49" ht="16" x14ac:dyDescent="0.2">
      <c r="B25" s="23" t="s">
        <v>39</v>
      </c>
      <c r="C25" s="35"/>
      <c r="D25" s="35"/>
      <c r="E25" s="35">
        <f>(E24-D24)/D24</f>
        <v>0.1414381517858046</v>
      </c>
      <c r="F25" s="35">
        <f t="shared" ref="F25" si="25">(F24-E24)/E24</f>
        <v>-8.1172571469081758E-2</v>
      </c>
      <c r="G25" s="35">
        <f>(G24-F24)/F24</f>
        <v>0.27836930733175164</v>
      </c>
      <c r="H25" s="35">
        <f>(H24-C24)/C24</f>
        <v>0.17471939578306933</v>
      </c>
      <c r="I25" s="35">
        <f t="shared" ref="I25:W25" si="26">(I24-D24)/D24</f>
        <v>0.19824403467424617</v>
      </c>
      <c r="J25" s="35">
        <f t="shared" si="26"/>
        <v>6.5381138897258204E-2</v>
      </c>
      <c r="K25" s="35">
        <f t="shared" si="26"/>
        <v>0.1700325984221592</v>
      </c>
      <c r="L25" s="35">
        <f t="shared" si="26"/>
        <v>-7.2976785943311528E-2</v>
      </c>
      <c r="M25" s="35">
        <f t="shared" si="26"/>
        <v>7.7987426999803544E-2</v>
      </c>
      <c r="N25" s="35">
        <f t="shared" si="26"/>
        <v>5.7630294946902805E-2</v>
      </c>
      <c r="O25" s="35">
        <f t="shared" si="26"/>
        <v>5.5737623103540059E-2</v>
      </c>
      <c r="P25" s="35">
        <f t="shared" si="26"/>
        <v>5.7494477233011307E-2</v>
      </c>
      <c r="Q25" s="35">
        <f t="shared" si="26"/>
        <v>1.267131091506885E-2</v>
      </c>
      <c r="R25" s="35">
        <f t="shared" si="26"/>
        <v>4.5684417181979714E-2</v>
      </c>
      <c r="S25" s="35">
        <f t="shared" si="26"/>
        <v>0.16137889200169209</v>
      </c>
      <c r="T25" s="35">
        <f t="shared" si="26"/>
        <v>0.14337600945440221</v>
      </c>
      <c r="U25" s="35">
        <f t="shared" si="26"/>
        <v>0.38280159948866249</v>
      </c>
      <c r="V25" s="35">
        <f t="shared" si="26"/>
        <v>0.18049874229505034</v>
      </c>
      <c r="W25" s="35">
        <f t="shared" si="26"/>
        <v>0.21782278220296353</v>
      </c>
      <c r="X25" s="35">
        <f t="shared" ref="X25" si="27">(X24-146893)/146893</f>
        <v>-3.8531448060833397E-2</v>
      </c>
      <c r="Y25" s="35">
        <f>(Y24-X24)/X24</f>
        <v>1.2390871821741378E-2</v>
      </c>
      <c r="Z25" s="35">
        <f>(Z24-Y24)/Y24</f>
        <v>4.4655658364980449E-2</v>
      </c>
      <c r="AA25"/>
      <c r="AB25"/>
      <c r="AC25"/>
      <c r="AD25"/>
      <c r="AE25"/>
      <c r="AF25"/>
      <c r="AG25"/>
      <c r="AH25"/>
      <c r="AI25"/>
      <c r="AK25" s="1"/>
      <c r="AM25" s="105"/>
      <c r="AN25" s="105"/>
      <c r="AO25" s="2"/>
      <c r="AP25" s="105"/>
      <c r="AQ25" s="105"/>
      <c r="AR25" s="2"/>
      <c r="AS25" s="105"/>
    </row>
    <row r="26" spans="1:49" ht="17" thickBot="1" x14ac:dyDescent="0.25">
      <c r="A26" s="4" t="s">
        <v>36</v>
      </c>
      <c r="B26" s="70" t="s">
        <v>7</v>
      </c>
      <c r="C26" s="12">
        <f t="shared" ref="C26" si="28">C15-C24</f>
        <v>34014</v>
      </c>
      <c r="D26" s="12">
        <f>D15-D24</f>
        <v>4253</v>
      </c>
      <c r="E26" s="12">
        <f t="shared" ref="E26:X26" si="29">E15-E24</f>
        <v>-875</v>
      </c>
      <c r="F26" s="12">
        <f t="shared" si="29"/>
        <v>-366</v>
      </c>
      <c r="G26" s="12">
        <f t="shared" si="29"/>
        <v>-27250</v>
      </c>
      <c r="H26" s="12">
        <f t="shared" ref="H26" si="30">H15-H24</f>
        <v>-24238</v>
      </c>
      <c r="I26" s="12">
        <f t="shared" si="29"/>
        <v>-7289</v>
      </c>
      <c r="J26" s="12">
        <f t="shared" si="29"/>
        <v>-2412</v>
      </c>
      <c r="K26" s="12">
        <f t="shared" si="29"/>
        <v>5542</v>
      </c>
      <c r="L26" s="12">
        <f t="shared" si="29"/>
        <v>13216</v>
      </c>
      <c r="M26" s="12">
        <f t="shared" si="29"/>
        <v>9057</v>
      </c>
      <c r="N26" s="12">
        <f t="shared" si="29"/>
        <v>23181</v>
      </c>
      <c r="O26" s="12">
        <f t="shared" si="29"/>
        <v>24740</v>
      </c>
      <c r="P26" s="12">
        <f t="shared" si="29"/>
        <v>30891</v>
      </c>
      <c r="Q26" s="12">
        <f t="shared" si="29"/>
        <v>38887</v>
      </c>
      <c r="R26" s="12">
        <f t="shared" ref="R26" si="31">R15-R24</f>
        <v>117699</v>
      </c>
      <c r="S26" s="12">
        <f t="shared" si="29"/>
        <v>41630</v>
      </c>
      <c r="T26" s="12">
        <f t="shared" si="29"/>
        <v>58929</v>
      </c>
      <c r="U26" s="12">
        <f t="shared" si="29"/>
        <v>19625</v>
      </c>
      <c r="V26" s="12">
        <f t="shared" si="29"/>
        <v>42150</v>
      </c>
      <c r="W26" s="12">
        <f t="shared" si="29"/>
        <v>162334</v>
      </c>
      <c r="X26" s="12">
        <f t="shared" si="29"/>
        <v>83079</v>
      </c>
      <c r="Y26" s="12">
        <f>Y15-Y24</f>
        <v>89612</v>
      </c>
      <c r="Z26" s="12">
        <f>Z15-Z24</f>
        <v>78695</v>
      </c>
      <c r="AA26"/>
      <c r="AB26"/>
      <c r="AC26"/>
      <c r="AD26"/>
      <c r="AE26"/>
      <c r="AF26"/>
      <c r="AG26"/>
      <c r="AH26"/>
      <c r="AI26"/>
      <c r="AK26" s="1"/>
      <c r="AM26" s="105"/>
      <c r="AN26" s="105"/>
      <c r="AO26" s="1"/>
      <c r="AP26" s="105"/>
      <c r="AQ26" s="105"/>
      <c r="AR26" s="1"/>
      <c r="AS26" s="105"/>
    </row>
    <row r="27" spans="1:49" ht="17" thickTop="1" x14ac:dyDescent="0.2">
      <c r="B27" s="71" t="s">
        <v>8</v>
      </c>
      <c r="C27" s="35">
        <f t="shared" ref="C27:X27" si="32">C26/C7</f>
        <v>4.6367763130989545E-2</v>
      </c>
      <c r="D27" s="35">
        <f>D26/D7</f>
        <v>2.3088782966525879E-2</v>
      </c>
      <c r="E27" s="35">
        <f t="shared" si="32"/>
        <v>-4.6271079781917794E-3</v>
      </c>
      <c r="F27" s="35">
        <f t="shared" si="32"/>
        <v>-2.0338530957911467E-3</v>
      </c>
      <c r="G27" s="35">
        <f t="shared" si="32"/>
        <v>-0.1340403449140912</v>
      </c>
      <c r="H27" s="35">
        <f t="shared" si="32"/>
        <v>-3.203728474825393E-2</v>
      </c>
      <c r="I27" s="35">
        <f t="shared" si="32"/>
        <v>-3.5438717613368406E-2</v>
      </c>
      <c r="J27" s="35">
        <f t="shared" si="32"/>
        <v>-1.1700672352067992E-2</v>
      </c>
      <c r="K27" s="35">
        <f t="shared" si="32"/>
        <v>2.5647196023805337E-2</v>
      </c>
      <c r="L27" s="35">
        <f t="shared" si="32"/>
        <v>5.6517035079391549E-2</v>
      </c>
      <c r="M27" s="35">
        <f t="shared" si="32"/>
        <v>1.0510033095522125E-2</v>
      </c>
      <c r="N27" s="35">
        <f t="shared" si="32"/>
        <v>9.4836191660666355E-2</v>
      </c>
      <c r="O27" s="35">
        <f t="shared" si="32"/>
        <v>0.10158120131883112</v>
      </c>
      <c r="P27" s="35">
        <f t="shared" si="32"/>
        <v>0.12395122362259699</v>
      </c>
      <c r="Q27" s="35">
        <f t="shared" si="32"/>
        <v>0.1482047509975723</v>
      </c>
      <c r="R27" s="35">
        <f t="shared" ref="R27" si="33">R26/R7</f>
        <v>0.11774762977109546</v>
      </c>
      <c r="S27" s="35">
        <f t="shared" si="32"/>
        <v>0.14475116221657389</v>
      </c>
      <c r="T27" s="35">
        <f t="shared" si="32"/>
        <v>0.19647715451708411</v>
      </c>
      <c r="U27" s="35">
        <f t="shared" si="32"/>
        <v>6.5322602119614423E-2</v>
      </c>
      <c r="V27" s="35">
        <f t="shared" si="32"/>
        <v>0.13517543944044103</v>
      </c>
      <c r="W27" s="35">
        <f t="shared" si="32"/>
        <v>0.13530381555192894</v>
      </c>
      <c r="X27" s="35">
        <f t="shared" si="32"/>
        <v>0.25111154770360744</v>
      </c>
      <c r="Y27" s="35">
        <f>Y26/Y7</f>
        <v>0.27502263415532402</v>
      </c>
      <c r="Z27" s="35">
        <f>Z26/Z7</f>
        <v>0.24426999913087744</v>
      </c>
      <c r="AA27"/>
      <c r="AB27"/>
      <c r="AC27"/>
      <c r="AD27"/>
      <c r="AE27"/>
      <c r="AF27"/>
      <c r="AG27"/>
      <c r="AH27"/>
      <c r="AI27"/>
      <c r="AK27" s="1"/>
      <c r="AM27" s="105"/>
      <c r="AN27" s="105"/>
      <c r="AO27" s="1"/>
      <c r="AP27" s="105"/>
      <c r="AQ27" s="105"/>
      <c r="AR27" s="1"/>
      <c r="AS27" s="105"/>
    </row>
    <row r="28" spans="1:49" ht="16" x14ac:dyDescent="0.2">
      <c r="B28" s="23"/>
      <c r="C28" s="35"/>
      <c r="D28" s="11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/>
      <c r="AB28"/>
      <c r="AC28"/>
      <c r="AD28"/>
      <c r="AE28"/>
      <c r="AF28"/>
      <c r="AG28"/>
      <c r="AH28"/>
      <c r="AI28"/>
      <c r="AK28" s="1"/>
      <c r="AN28" s="105"/>
      <c r="AO28" s="105"/>
      <c r="AP28" s="1"/>
      <c r="AQ28" s="1"/>
      <c r="AR28" s="105"/>
      <c r="AS28" s="105"/>
      <c r="AT28" s="1"/>
      <c r="AU28" s="1"/>
      <c r="AV28" s="105"/>
    </row>
    <row r="29" spans="1:49" ht="16" x14ac:dyDescent="0.2">
      <c r="B29" s="23" t="s">
        <v>9</v>
      </c>
      <c r="C29" s="23"/>
      <c r="D29" s="11"/>
      <c r="E29" s="11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/>
      <c r="AB29"/>
      <c r="AC29"/>
      <c r="AD29"/>
      <c r="AE29"/>
      <c r="AF29"/>
      <c r="AG29"/>
      <c r="AH29"/>
      <c r="AI29"/>
      <c r="AK29" s="1"/>
      <c r="AM29" s="105"/>
      <c r="AN29" s="105"/>
      <c r="AO29" s="105"/>
      <c r="AP29" s="105"/>
    </row>
    <row r="30" spans="1:49" ht="16" x14ac:dyDescent="0.2">
      <c r="B30" s="23" t="s">
        <v>10</v>
      </c>
      <c r="C30" s="99">
        <v>-34881</v>
      </c>
      <c r="D30" s="99">
        <v>-6689</v>
      </c>
      <c r="E30" s="187">
        <v>-7254</v>
      </c>
      <c r="F30" s="99">
        <v>-11881</v>
      </c>
      <c r="G30" s="99">
        <f>'annual IS'!D31-SUM('quarterly IS'!D30:F30)</f>
        <v>-10748</v>
      </c>
      <c r="H30" s="99">
        <f>SUM(D30:G30)</f>
        <v>-36572</v>
      </c>
      <c r="I30" s="99">
        <v>-10461</v>
      </c>
      <c r="J30" s="99">
        <v>-11493</v>
      </c>
      <c r="K30" s="99">
        <v>-12165</v>
      </c>
      <c r="L30" s="99">
        <f>'annual IS'!E31-SUM('quarterly IS'!I30:K30)</f>
        <v>-14305</v>
      </c>
      <c r="M30" s="99">
        <f>SUM(I30:L30)</f>
        <v>-48424</v>
      </c>
      <c r="N30" s="99">
        <v>-14997</v>
      </c>
      <c r="O30" s="99">
        <v>-13272</v>
      </c>
      <c r="P30" s="99">
        <v>-13545</v>
      </c>
      <c r="Q30" s="99">
        <f>'annual IS'!F31-SUM('quarterly IS'!N30:P30)</f>
        <v>-13641</v>
      </c>
      <c r="R30" s="99">
        <f>SUM(N30:Q30)</f>
        <v>-55455</v>
      </c>
      <c r="S30" s="99">
        <v>-11795</v>
      </c>
      <c r="T30" s="99">
        <v>-15427</v>
      </c>
      <c r="U30" s="99">
        <v>-18155</v>
      </c>
      <c r="V30" s="99">
        <f>'annual IS'!G31-SUM('quarterly IS'!S30:U30)</f>
        <v>-15257</v>
      </c>
      <c r="W30" s="99">
        <f>SUM(S30:V30)</f>
        <v>-60634</v>
      </c>
      <c r="X30" s="99">
        <v>-14858</v>
      </c>
      <c r="Y30" s="99">
        <v>-14955</v>
      </c>
      <c r="Z30" s="99">
        <v>-14049</v>
      </c>
      <c r="AA30"/>
      <c r="AB30"/>
      <c r="AC30"/>
      <c r="AD30"/>
      <c r="AE30"/>
      <c r="AF30"/>
      <c r="AG30"/>
      <c r="AH30"/>
      <c r="AI30"/>
      <c r="AK30" s="1"/>
      <c r="AN30" s="105"/>
      <c r="AO30" s="105"/>
      <c r="AP30" s="1"/>
      <c r="AQ30" s="1"/>
      <c r="AR30" s="105"/>
      <c r="AS30" s="105"/>
      <c r="AT30" s="1"/>
      <c r="AU30" s="1"/>
      <c r="AV30" s="105"/>
    </row>
    <row r="31" spans="1:49" ht="16" x14ac:dyDescent="0.2">
      <c r="B31" s="23" t="s">
        <v>30</v>
      </c>
      <c r="C31" s="99">
        <v>5007</v>
      </c>
      <c r="D31" s="99">
        <v>-3630</v>
      </c>
      <c r="E31" s="187">
        <v>344</v>
      </c>
      <c r="F31" s="99">
        <v>3122</v>
      </c>
      <c r="G31" s="99">
        <f>'annual IS'!D32-SUM('quarterly IS'!D31:F31)</f>
        <v>-5767</v>
      </c>
      <c r="H31" s="99">
        <f>'annual IS'!D32</f>
        <v>-5931</v>
      </c>
      <c r="I31" s="99">
        <v>-301</v>
      </c>
      <c r="J31" s="99">
        <v>32</v>
      </c>
      <c r="K31" s="99">
        <v>443</v>
      </c>
      <c r="L31" s="99">
        <f>'annual IS'!E32-SUM('quarterly IS'!I31:K31)</f>
        <v>1097</v>
      </c>
      <c r="M31" s="99">
        <f>SUM(I31:L31)</f>
        <v>1271</v>
      </c>
      <c r="N31" s="99">
        <v>1828</v>
      </c>
      <c r="O31" s="99">
        <v>2756</v>
      </c>
      <c r="P31" s="99">
        <v>3741</v>
      </c>
      <c r="Q31" s="99">
        <f>'annual IS'!F32-SUM('quarterly IS'!N31:P31)</f>
        <v>4471</v>
      </c>
      <c r="R31" s="99">
        <f>SUM(N31:Q31)</f>
        <v>12796</v>
      </c>
      <c r="S31" s="99">
        <v>3404</v>
      </c>
      <c r="T31" s="99">
        <v>3114</v>
      </c>
      <c r="U31" s="99">
        <v>4748</v>
      </c>
      <c r="V31" s="99">
        <f>'annual IS'!G32-SUM('quarterly IS'!S31:U31)</f>
        <v>3068</v>
      </c>
      <c r="W31" s="99">
        <f>SUM(S31:V31)</f>
        <v>14334</v>
      </c>
      <c r="X31" s="99">
        <v>2733</v>
      </c>
      <c r="Y31" s="99">
        <v>3391</v>
      </c>
      <c r="Z31" s="99">
        <v>2886</v>
      </c>
      <c r="AA31"/>
      <c r="AB31"/>
      <c r="AC31"/>
      <c r="AD31"/>
      <c r="AE31"/>
      <c r="AF31"/>
      <c r="AG31"/>
      <c r="AH31"/>
      <c r="AI31"/>
      <c r="AK31" s="1"/>
      <c r="AN31" s="105"/>
      <c r="AO31" s="105"/>
      <c r="AP31" s="1"/>
      <c r="AQ31" s="1"/>
      <c r="AR31" s="105"/>
      <c r="AS31" s="105"/>
      <c r="AT31" s="1"/>
      <c r="AU31" s="1"/>
      <c r="AV31" s="105"/>
      <c r="AW31" s="1"/>
    </row>
    <row r="32" spans="1:49" ht="16" x14ac:dyDescent="0.2">
      <c r="B32" s="23" t="s">
        <v>31</v>
      </c>
      <c r="C32" s="102">
        <f t="shared" ref="C32" si="34">SUM(C30:C31)</f>
        <v>-29874</v>
      </c>
      <c r="D32" s="102">
        <f t="shared" ref="D32:X32" si="35">SUM(D30:D31)</f>
        <v>-10319</v>
      </c>
      <c r="E32" s="102">
        <f t="shared" ref="E32" si="36">SUM(E30:E31)</f>
        <v>-6910</v>
      </c>
      <c r="F32" s="102">
        <f t="shared" ref="F32" si="37">SUM(F30:F31)</f>
        <v>-8759</v>
      </c>
      <c r="G32" s="102">
        <f t="shared" ref="G32:H32" si="38">SUM(G30:G31)</f>
        <v>-16515</v>
      </c>
      <c r="H32" s="102">
        <f t="shared" si="38"/>
        <v>-42503</v>
      </c>
      <c r="I32" s="102">
        <f t="shared" ref="I32" si="39">SUM(I30:I31)</f>
        <v>-10762</v>
      </c>
      <c r="J32" s="102">
        <f t="shared" ref="J32" si="40">SUM(J30:J31)</f>
        <v>-11461</v>
      </c>
      <c r="K32" s="102">
        <f t="shared" ref="K32" si="41">SUM(K30:K31)</f>
        <v>-11722</v>
      </c>
      <c r="L32" s="102">
        <f t="shared" ref="L32:M32" si="42">SUM(L30:L31)</f>
        <v>-13208</v>
      </c>
      <c r="M32" s="102">
        <f t="shared" si="42"/>
        <v>-47153</v>
      </c>
      <c r="N32" s="102">
        <f t="shared" ref="N32" si="43">SUM(N30:N31)</f>
        <v>-13169</v>
      </c>
      <c r="O32" s="102">
        <f t="shared" si="35"/>
        <v>-10516</v>
      </c>
      <c r="P32" s="102">
        <f t="shared" si="35"/>
        <v>-9804</v>
      </c>
      <c r="Q32" s="102">
        <f t="shared" si="35"/>
        <v>-9170</v>
      </c>
      <c r="R32" s="102">
        <f t="shared" ref="R32" si="44">SUM(R30:R31)</f>
        <v>-42659</v>
      </c>
      <c r="S32" s="102">
        <f t="shared" si="35"/>
        <v>-8391</v>
      </c>
      <c r="T32" s="102">
        <f t="shared" si="35"/>
        <v>-12313</v>
      </c>
      <c r="U32" s="102">
        <f t="shared" si="35"/>
        <v>-13407</v>
      </c>
      <c r="V32" s="102">
        <f t="shared" si="35"/>
        <v>-12189</v>
      </c>
      <c r="W32" s="102">
        <f t="shared" ref="W32" si="45">SUM(W30:W31)</f>
        <v>-46300</v>
      </c>
      <c r="X32" s="102">
        <f t="shared" si="35"/>
        <v>-12125</v>
      </c>
      <c r="Y32" s="102">
        <f>SUM(Y30:Y31)</f>
        <v>-11564</v>
      </c>
      <c r="Z32" s="102">
        <f>SUM(Z30:Z31)</f>
        <v>-11163</v>
      </c>
      <c r="AA32"/>
      <c r="AB32"/>
      <c r="AC32"/>
      <c r="AD32"/>
      <c r="AE32"/>
      <c r="AF32"/>
      <c r="AG32"/>
      <c r="AH32"/>
      <c r="AI32"/>
      <c r="AK32" s="1"/>
      <c r="AM32" s="105"/>
      <c r="AN32" s="105"/>
      <c r="AO32" s="105"/>
      <c r="AP32" s="105"/>
    </row>
    <row r="33" spans="1:49" ht="17" thickBot="1" x14ac:dyDescent="0.25">
      <c r="A33" s="4" t="s">
        <v>36</v>
      </c>
      <c r="B33" s="70" t="s">
        <v>11</v>
      </c>
      <c r="C33" s="12">
        <f t="shared" ref="C33" si="46">C26+C32</f>
        <v>4140</v>
      </c>
      <c r="D33" s="12">
        <f>D26+D32</f>
        <v>-6066</v>
      </c>
      <c r="E33" s="12">
        <f t="shared" ref="E33:F33" si="47">E26+E32</f>
        <v>-7785</v>
      </c>
      <c r="F33" s="12">
        <f t="shared" si="47"/>
        <v>-9125</v>
      </c>
      <c r="G33" s="12">
        <f t="shared" ref="G33:X33" si="48">G26+G32</f>
        <v>-43765</v>
      </c>
      <c r="H33" s="12">
        <f t="shared" si="48"/>
        <v>-66741</v>
      </c>
      <c r="I33" s="12">
        <f t="shared" si="48"/>
        <v>-18051</v>
      </c>
      <c r="J33" s="12">
        <f t="shared" si="48"/>
        <v>-13873</v>
      </c>
      <c r="K33" s="12">
        <f t="shared" si="48"/>
        <v>-6180</v>
      </c>
      <c r="L33" s="12">
        <f t="shared" si="48"/>
        <v>8</v>
      </c>
      <c r="M33" s="12">
        <f t="shared" si="48"/>
        <v>-38096</v>
      </c>
      <c r="N33" s="12">
        <f t="shared" si="48"/>
        <v>10012</v>
      </c>
      <c r="O33" s="12">
        <f t="shared" si="48"/>
        <v>14224</v>
      </c>
      <c r="P33" s="12">
        <f t="shared" si="48"/>
        <v>21087</v>
      </c>
      <c r="Q33" s="12">
        <f t="shared" si="48"/>
        <v>29717</v>
      </c>
      <c r="R33" s="12">
        <f t="shared" ref="R33" si="49">R26+R32</f>
        <v>75040</v>
      </c>
      <c r="S33" s="12">
        <f t="shared" si="48"/>
        <v>33239</v>
      </c>
      <c r="T33" s="12">
        <f t="shared" si="48"/>
        <v>46616</v>
      </c>
      <c r="U33" s="12">
        <f t="shared" si="48"/>
        <v>6218</v>
      </c>
      <c r="V33" s="12">
        <f t="shared" si="48"/>
        <v>29961</v>
      </c>
      <c r="W33" s="12">
        <f t="shared" si="48"/>
        <v>116034</v>
      </c>
      <c r="X33" s="12">
        <f t="shared" si="48"/>
        <v>70954</v>
      </c>
      <c r="Y33" s="12">
        <f>Y26+Y32</f>
        <v>78048</v>
      </c>
      <c r="Z33" s="12">
        <f>Z26+Z32</f>
        <v>67532</v>
      </c>
      <c r="AA33"/>
      <c r="AB33"/>
      <c r="AC33"/>
      <c r="AD33"/>
      <c r="AE33"/>
      <c r="AF33"/>
      <c r="AG33"/>
      <c r="AH33"/>
      <c r="AI33"/>
      <c r="AK33" s="1"/>
      <c r="AM33" s="105"/>
      <c r="AN33" s="105"/>
      <c r="AO33" s="1"/>
      <c r="AP33" s="105"/>
      <c r="AQ33" s="105"/>
      <c r="AR33" s="1"/>
      <c r="AS33" s="105"/>
      <c r="AW33" s="1"/>
    </row>
    <row r="34" spans="1:49" ht="17" thickTop="1" x14ac:dyDescent="0.2">
      <c r="B34" s="23" t="s">
        <v>32</v>
      </c>
      <c r="C34" s="99">
        <v>-4694</v>
      </c>
      <c r="D34" s="99">
        <v>-3451</v>
      </c>
      <c r="E34" s="99">
        <v>-3967</v>
      </c>
      <c r="F34" s="99">
        <v>-4087</v>
      </c>
      <c r="G34" s="100">
        <f>SUM('annual IS'!D35-SUM('quarterly IS'!D34:F34))</f>
        <v>-10947</v>
      </c>
      <c r="H34" s="99">
        <v>-22452</v>
      </c>
      <c r="I34" s="99">
        <v>-4412</v>
      </c>
      <c r="J34" s="99">
        <v>-3219</v>
      </c>
      <c r="K34" s="99">
        <v>-4539</v>
      </c>
      <c r="L34" s="100">
        <f>'annual IS'!E35-SUM('quarterly IS'!I34:K34)</f>
        <v>217</v>
      </c>
      <c r="M34" s="99">
        <v>-11953</v>
      </c>
      <c r="N34" s="99">
        <v>5918</v>
      </c>
      <c r="O34" s="99">
        <v>3643</v>
      </c>
      <c r="P34" s="99">
        <v>6414</v>
      </c>
      <c r="Q34" s="100">
        <f>'annual IS'!F35-SUM('quarterly IS'!N34:P34)</f>
        <v>3353</v>
      </c>
      <c r="R34" s="99">
        <v>19328</v>
      </c>
      <c r="S34" s="99">
        <v>4426</v>
      </c>
      <c r="T34" s="99">
        <v>10794</v>
      </c>
      <c r="U34" s="99">
        <v>515</v>
      </c>
      <c r="V34" s="100">
        <f>'annual IS'!G35-SUM('quarterly IS'!S34:U34)</f>
        <v>3596</v>
      </c>
      <c r="W34" s="99">
        <v>19331</v>
      </c>
      <c r="X34" s="99">
        <v>17038</v>
      </c>
      <c r="Y34" s="99">
        <v>18194</v>
      </c>
      <c r="Z34" s="99">
        <v>15840</v>
      </c>
      <c r="AA34"/>
      <c r="AB34"/>
      <c r="AC34"/>
      <c r="AD34"/>
      <c r="AE34"/>
      <c r="AF34"/>
      <c r="AG34"/>
      <c r="AH34"/>
      <c r="AI34"/>
      <c r="AK34" s="1"/>
      <c r="AM34" s="105"/>
      <c r="AN34" s="105"/>
      <c r="AW34" s="1"/>
    </row>
    <row r="35" spans="1:49" ht="16" x14ac:dyDescent="0.2">
      <c r="B35" s="23" t="s">
        <v>209</v>
      </c>
      <c r="C35" s="103">
        <f>C34/C33</f>
        <v>-1.133816425120773</v>
      </c>
      <c r="D35" s="103">
        <f t="shared" ref="D35:Z35" si="50">D34/D33</f>
        <v>0.56890867128255851</v>
      </c>
      <c r="E35" s="103">
        <f t="shared" si="50"/>
        <v>0.50956968529222868</v>
      </c>
      <c r="F35" s="103">
        <f t="shared" si="50"/>
        <v>0.44789041095890408</v>
      </c>
      <c r="G35" s="103">
        <f t="shared" si="50"/>
        <v>0.25013138352564834</v>
      </c>
      <c r="H35" s="103">
        <f t="shared" si="50"/>
        <v>0.3364049085269924</v>
      </c>
      <c r="I35" s="103">
        <f t="shared" si="50"/>
        <v>0.24441859176776909</v>
      </c>
      <c r="J35" s="103">
        <f t="shared" si="50"/>
        <v>0.23203344626252434</v>
      </c>
      <c r="K35" s="103">
        <f t="shared" si="50"/>
        <v>0.73446601941747569</v>
      </c>
      <c r="L35" s="103">
        <f t="shared" si="50"/>
        <v>27.125</v>
      </c>
      <c r="M35" s="103">
        <f t="shared" si="50"/>
        <v>0.31375997480050399</v>
      </c>
      <c r="N35" s="103">
        <f t="shared" si="50"/>
        <v>0.59109069117059532</v>
      </c>
      <c r="O35" s="103">
        <f t="shared" si="50"/>
        <v>0.25611642294713161</v>
      </c>
      <c r="P35" s="103">
        <f t="shared" si="50"/>
        <v>0.30416844501351542</v>
      </c>
      <c r="Q35" s="103">
        <f t="shared" si="50"/>
        <v>0.11283103947235588</v>
      </c>
      <c r="R35" s="103">
        <f t="shared" si="50"/>
        <v>0.25756929637526654</v>
      </c>
      <c r="S35" s="103">
        <f t="shared" si="50"/>
        <v>0.13315683383976654</v>
      </c>
      <c r="T35" s="103">
        <f t="shared" si="50"/>
        <v>0.23155139866140381</v>
      </c>
      <c r="U35" s="103">
        <f t="shared" si="50"/>
        <v>8.2824059183017051E-2</v>
      </c>
      <c r="V35" s="103">
        <f t="shared" si="50"/>
        <v>0.12002269617168987</v>
      </c>
      <c r="W35" s="103">
        <f t="shared" si="50"/>
        <v>0.16659772135753315</v>
      </c>
      <c r="X35" s="103">
        <f t="shared" si="50"/>
        <v>0.240127406488711</v>
      </c>
      <c r="Y35" s="103">
        <f t="shared" si="50"/>
        <v>0.23311295612956129</v>
      </c>
      <c r="Z35" s="103">
        <f t="shared" si="50"/>
        <v>0.23455546999940768</v>
      </c>
      <c r="AA35"/>
      <c r="AB35"/>
      <c r="AC35"/>
      <c r="AD35"/>
      <c r="AE35"/>
      <c r="AF35"/>
      <c r="AG35"/>
      <c r="AH35"/>
      <c r="AI35"/>
      <c r="AK35" s="1"/>
      <c r="AM35" s="105"/>
      <c r="AN35" s="105"/>
      <c r="AW35" s="1"/>
    </row>
    <row r="36" spans="1:49" ht="16" x14ac:dyDescent="0.2">
      <c r="B36" s="2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99"/>
      <c r="Z36" s="99"/>
      <c r="AA36"/>
      <c r="AB36"/>
      <c r="AC36"/>
      <c r="AD36"/>
      <c r="AE36"/>
      <c r="AF36"/>
      <c r="AG36"/>
      <c r="AH36"/>
      <c r="AI36"/>
      <c r="AK36" s="1"/>
      <c r="AL36" s="1"/>
      <c r="AM36" s="105"/>
      <c r="AN36" s="105"/>
      <c r="AO36" s="1"/>
      <c r="AP36" s="105"/>
      <c r="AQ36" s="105"/>
      <c r="AR36" s="1"/>
      <c r="AS36" s="105"/>
    </row>
    <row r="37" spans="1:49" ht="17" thickBot="1" x14ac:dyDescent="0.25">
      <c r="A37" s="4" t="s">
        <v>36</v>
      </c>
      <c r="B37" s="70" t="s">
        <v>33</v>
      </c>
      <c r="C37" s="12">
        <f t="shared" ref="C37:X37" si="51">C33-C34</f>
        <v>8834</v>
      </c>
      <c r="D37" s="12">
        <f>D33-D34</f>
        <v>-2615</v>
      </c>
      <c r="E37" s="12">
        <f t="shared" si="51"/>
        <v>-3818</v>
      </c>
      <c r="F37" s="12">
        <f t="shared" si="51"/>
        <v>-5038</v>
      </c>
      <c r="G37" s="12">
        <f t="shared" si="51"/>
        <v>-32818</v>
      </c>
      <c r="H37" s="12">
        <f>H33-H34</f>
        <v>-44289</v>
      </c>
      <c r="I37" s="12">
        <f t="shared" si="51"/>
        <v>-13639</v>
      </c>
      <c r="J37" s="12">
        <f t="shared" si="51"/>
        <v>-10654</v>
      </c>
      <c r="K37" s="12">
        <f t="shared" si="51"/>
        <v>-1641</v>
      </c>
      <c r="L37" s="12">
        <f t="shared" si="51"/>
        <v>-209</v>
      </c>
      <c r="M37" s="12">
        <f t="shared" si="51"/>
        <v>-26143</v>
      </c>
      <c r="N37" s="12">
        <f t="shared" si="51"/>
        <v>4094</v>
      </c>
      <c r="O37" s="12">
        <f t="shared" si="51"/>
        <v>10581</v>
      </c>
      <c r="P37" s="12">
        <f t="shared" si="51"/>
        <v>14673</v>
      </c>
      <c r="Q37" s="12">
        <f t="shared" si="51"/>
        <v>26364</v>
      </c>
      <c r="R37" s="12">
        <f t="shared" ref="R37" si="52">R33-R34</f>
        <v>55712</v>
      </c>
      <c r="S37" s="12">
        <f t="shared" si="51"/>
        <v>28813</v>
      </c>
      <c r="T37" s="12">
        <f t="shared" si="51"/>
        <v>35822</v>
      </c>
      <c r="U37" s="12">
        <f t="shared" si="51"/>
        <v>5703</v>
      </c>
      <c r="V37" s="12">
        <f t="shared" si="51"/>
        <v>26365</v>
      </c>
      <c r="W37" s="12">
        <f t="shared" si="51"/>
        <v>96703</v>
      </c>
      <c r="X37" s="12">
        <f t="shared" si="51"/>
        <v>53916</v>
      </c>
      <c r="Y37" s="12">
        <f>Y33-Y34</f>
        <v>59854</v>
      </c>
      <c r="Z37" s="12">
        <f>Z33-Z34</f>
        <v>51692</v>
      </c>
      <c r="AA37"/>
      <c r="AB37"/>
      <c r="AC37"/>
      <c r="AD37"/>
      <c r="AE37"/>
      <c r="AF37"/>
      <c r="AG37"/>
      <c r="AH37"/>
      <c r="AI37"/>
      <c r="AL37" s="1"/>
      <c r="AM37" s="1"/>
      <c r="AN37" s="1"/>
      <c r="AO37" s="1"/>
      <c r="AP37" s="1"/>
      <c r="AQ37" s="1"/>
      <c r="AR37" s="1"/>
      <c r="AS37" s="1"/>
      <c r="AT37" s="1"/>
    </row>
    <row r="38" spans="1:49" ht="17" thickTop="1" x14ac:dyDescent="0.2">
      <c r="B38" s="71" t="s">
        <v>12</v>
      </c>
      <c r="C38" s="35">
        <f t="shared" ref="C38:X38" si="53">C37/C7</f>
        <v>1.2042477200539825E-2</v>
      </c>
      <c r="D38" s="35">
        <f>D37/D7</f>
        <v>-1.4196371374903639E-2</v>
      </c>
      <c r="E38" s="35">
        <f t="shared" si="53"/>
        <v>-2.0190055155127101E-2</v>
      </c>
      <c r="F38" s="35">
        <f t="shared" si="53"/>
        <v>-2.7996043433321849E-2</v>
      </c>
      <c r="G38" s="35">
        <f t="shared" si="53"/>
        <v>-0.16142884548222552</v>
      </c>
      <c r="H38" s="35">
        <f t="shared" si="53"/>
        <v>-5.8540279899967747E-2</v>
      </c>
      <c r="I38" s="35">
        <f t="shared" si="53"/>
        <v>-6.6312068806246627E-2</v>
      </c>
      <c r="J38" s="35">
        <f t="shared" si="53"/>
        <v>-5.1682820579988555E-2</v>
      </c>
      <c r="K38" s="35">
        <f t="shared" si="53"/>
        <v>-7.5941986061105297E-3</v>
      </c>
      <c r="L38" s="35">
        <f t="shared" si="53"/>
        <v>-8.9376969821374354E-4</v>
      </c>
      <c r="M38" s="35">
        <f t="shared" si="53"/>
        <v>-3.0337175137047024E-2</v>
      </c>
      <c r="N38" s="35">
        <f t="shared" si="53"/>
        <v>1.6749034496301631E-2</v>
      </c>
      <c r="O38" s="35">
        <f t="shared" si="53"/>
        <v>4.3445056230984318E-2</v>
      </c>
      <c r="P38" s="35">
        <f t="shared" si="53"/>
        <v>5.8875928400322609E-2</v>
      </c>
      <c r="Q38" s="35">
        <f t="shared" si="53"/>
        <v>0.10047753890246088</v>
      </c>
      <c r="R38" s="35">
        <f t="shared" ref="R38" si="54">R37/R7</f>
        <v>5.5735018562666383E-2</v>
      </c>
      <c r="S38" s="35">
        <f t="shared" si="53"/>
        <v>0.10018532877603034</v>
      </c>
      <c r="T38" s="35">
        <f t="shared" si="53"/>
        <v>0.11943533114614174</v>
      </c>
      <c r="U38" s="35">
        <f t="shared" si="53"/>
        <v>1.8982664962454068E-2</v>
      </c>
      <c r="V38" s="35">
        <f t="shared" si="53"/>
        <v>8.4552798596612758E-2</v>
      </c>
      <c r="W38" s="35">
        <f t="shared" si="53"/>
        <v>8.0601013190817611E-2</v>
      </c>
      <c r="X38" s="35">
        <f t="shared" si="53"/>
        <v>0.16296453021807794</v>
      </c>
      <c r="Y38" s="35">
        <f>Y37/Y7</f>
        <v>0.18369420105268003</v>
      </c>
      <c r="Z38" s="35">
        <f>Z37/Z7</f>
        <v>0.16045244037198444</v>
      </c>
      <c r="AA38"/>
      <c r="AB38"/>
      <c r="AC38"/>
      <c r="AD38"/>
      <c r="AE38"/>
      <c r="AF38"/>
      <c r="AG38"/>
      <c r="AH38"/>
      <c r="AI38"/>
      <c r="AL38" s="1"/>
      <c r="AM38" s="1"/>
      <c r="AN38" s="1"/>
      <c r="AO38" s="1"/>
      <c r="AP38" s="1"/>
      <c r="AQ38" s="1"/>
      <c r="AR38" s="1"/>
      <c r="AS38" s="1"/>
      <c r="AT38" s="1"/>
    </row>
    <row r="39" spans="1:49" ht="16" x14ac:dyDescent="0.2">
      <c r="B39" s="23"/>
      <c r="C39" s="23"/>
      <c r="D39" s="11"/>
      <c r="E39" s="11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109"/>
      <c r="Y39" s="109"/>
      <c r="Z39" s="109"/>
      <c r="AA39"/>
      <c r="AB39"/>
      <c r="AC39"/>
      <c r="AD39"/>
      <c r="AE39"/>
      <c r="AF39"/>
      <c r="AG39"/>
      <c r="AH39"/>
      <c r="AI39"/>
    </row>
    <row r="40" spans="1:49" ht="16" x14ac:dyDescent="0.2">
      <c r="B40" s="70" t="s">
        <v>37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0"/>
      <c r="V40" s="11"/>
      <c r="W40" s="11"/>
      <c r="X40" s="23"/>
      <c r="Y40" s="23"/>
      <c r="Z40" s="23"/>
      <c r="AA40"/>
      <c r="AB40"/>
      <c r="AC40"/>
      <c r="AD40"/>
      <c r="AE40"/>
      <c r="AF40"/>
      <c r="AG40"/>
      <c r="AH40"/>
      <c r="AI40"/>
    </row>
    <row r="41" spans="1:49" ht="16" x14ac:dyDescent="0.2">
      <c r="B41" s="23" t="s">
        <v>13</v>
      </c>
      <c r="C41" s="106">
        <v>0.12</v>
      </c>
      <c r="D41" s="106">
        <v>-0.03</v>
      </c>
      <c r="E41" s="106">
        <v>-0.05</v>
      </c>
      <c r="F41" s="106">
        <v>-0.06</v>
      </c>
      <c r="G41" s="106">
        <f>SUM('annual IS'!D42-SUM('quarterly IS'!D41:F41))</f>
        <v>-0.39</v>
      </c>
      <c r="H41" s="106">
        <f>SUM(D41:G41)</f>
        <v>-0.53</v>
      </c>
      <c r="I41" s="106">
        <v>-0.16</v>
      </c>
      <c r="J41" s="106">
        <v>-0.13</v>
      </c>
      <c r="K41" s="106">
        <v>-0.02</v>
      </c>
      <c r="L41" s="245">
        <f>'annual IS'!E42-SUM('quarterly IS'!I41:K41)</f>
        <v>0</v>
      </c>
      <c r="M41" s="106">
        <v>-0.31</v>
      </c>
      <c r="N41" s="106">
        <v>0.05</v>
      </c>
      <c r="O41" s="106">
        <v>0.12</v>
      </c>
      <c r="P41" s="106">
        <v>0.17</v>
      </c>
      <c r="Q41" s="106">
        <f>'annual IS'!F42-SUM('quarterly IS'!N41:P41)</f>
        <v>0.31000000000000005</v>
      </c>
      <c r="R41" s="106">
        <v>0.65</v>
      </c>
      <c r="S41" s="106">
        <v>0.33</v>
      </c>
      <c r="T41" s="106">
        <v>0.41</v>
      </c>
      <c r="U41" s="106">
        <v>7.0000000000000007E-2</v>
      </c>
      <c r="V41" s="106">
        <f>'annual IS'!G42-SUM('quarterly IS'!S41:U41)</f>
        <v>0.30000000000000004</v>
      </c>
      <c r="W41" s="106">
        <v>1.1100000000000001</v>
      </c>
      <c r="X41" s="106">
        <v>0.62</v>
      </c>
      <c r="Y41" s="106">
        <v>0.69</v>
      </c>
      <c r="Z41" s="106">
        <v>0.6</v>
      </c>
      <c r="AA41"/>
      <c r="AB41"/>
      <c r="AC41"/>
      <c r="AD41"/>
      <c r="AE41"/>
      <c r="AF41"/>
      <c r="AG41"/>
      <c r="AH41"/>
      <c r="AI41"/>
    </row>
    <row r="42" spans="1:49" ht="16" x14ac:dyDescent="0.2">
      <c r="B42" s="23" t="s">
        <v>14</v>
      </c>
      <c r="C42" s="106">
        <v>0.12</v>
      </c>
      <c r="D42" s="106">
        <v>-0.03</v>
      </c>
      <c r="E42" s="106">
        <v>-0.05</v>
      </c>
      <c r="F42" s="106">
        <v>-0.06</v>
      </c>
      <c r="G42" s="106">
        <f>SUM('annual IS'!D43-SUM('quarterly IS'!D42:F42))</f>
        <v>-0.39</v>
      </c>
      <c r="H42" s="106">
        <f>SUM(D42:G42)</f>
        <v>-0.53</v>
      </c>
      <c r="I42" s="106">
        <v>-0.16</v>
      </c>
      <c r="J42" s="106">
        <v>-0.13</v>
      </c>
      <c r="K42" s="106">
        <v>-0.02</v>
      </c>
      <c r="L42" s="245">
        <f>'annual IS'!E43-SUM('quarterly IS'!I42:K42)</f>
        <v>0</v>
      </c>
      <c r="M42" s="106">
        <v>-0.31</v>
      </c>
      <c r="N42" s="106">
        <v>0.05</v>
      </c>
      <c r="O42" s="106">
        <v>0.12</v>
      </c>
      <c r="P42" s="106">
        <v>0.17</v>
      </c>
      <c r="Q42" s="106">
        <f>'annual IS'!F43-SUM('quarterly IS'!N42:P42)</f>
        <v>0.30000000000000004</v>
      </c>
      <c r="R42" s="106">
        <v>0.64</v>
      </c>
      <c r="S42" s="106">
        <v>0.33</v>
      </c>
      <c r="T42" s="106">
        <v>0.4</v>
      </c>
      <c r="U42" s="106">
        <v>0.06</v>
      </c>
      <c r="V42" s="106">
        <f>'annual IS'!G43-SUM('quarterly IS'!S42:U42)</f>
        <v>0.30000000000000004</v>
      </c>
      <c r="W42" s="106">
        <v>1.0900000000000001</v>
      </c>
      <c r="X42" s="106">
        <v>0.61</v>
      </c>
      <c r="Y42" s="106">
        <v>0.68</v>
      </c>
      <c r="Z42" s="106">
        <v>0.59</v>
      </c>
      <c r="AA42"/>
      <c r="AB42"/>
      <c r="AC42"/>
      <c r="AD42"/>
      <c r="AE42"/>
      <c r="AF42"/>
      <c r="AG42"/>
      <c r="AH42"/>
      <c r="AI42"/>
    </row>
    <row r="43" spans="1:49" ht="16" x14ac:dyDescent="0.2">
      <c r="B43" s="23"/>
      <c r="C43" s="103"/>
      <c r="D43" s="106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/>
      <c r="AB43"/>
      <c r="AC43"/>
      <c r="AD43"/>
      <c r="AE43"/>
      <c r="AF43"/>
      <c r="AG43"/>
      <c r="AH43"/>
      <c r="AI43"/>
    </row>
    <row r="44" spans="1:49" ht="16" x14ac:dyDescent="0.2">
      <c r="B44" s="23" t="s">
        <v>15</v>
      </c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/>
      <c r="AB44"/>
      <c r="AC44"/>
      <c r="AD44"/>
      <c r="AE44"/>
      <c r="AF44"/>
      <c r="AG44"/>
      <c r="AH44"/>
      <c r="AI44"/>
    </row>
    <row r="45" spans="1:49" ht="16" x14ac:dyDescent="0.2">
      <c r="B45" s="23" t="s">
        <v>13</v>
      </c>
      <c r="C45" s="106">
        <v>74235</v>
      </c>
      <c r="D45" s="106">
        <v>81747</v>
      </c>
      <c r="E45" s="106">
        <v>83481</v>
      </c>
      <c r="F45" s="106">
        <v>83551</v>
      </c>
      <c r="G45" s="106">
        <f>SUM('annual IS'!D46)</f>
        <v>83133</v>
      </c>
      <c r="H45" s="106">
        <f>G45</f>
        <v>83133</v>
      </c>
      <c r="I45" s="106">
        <v>84022</v>
      </c>
      <c r="J45" s="106">
        <v>84443</v>
      </c>
      <c r="K45" s="106">
        <v>84572</v>
      </c>
      <c r="L45" s="245">
        <f>'annual IS'!E46</f>
        <v>84442</v>
      </c>
      <c r="M45" s="245">
        <f>L45</f>
        <v>84442</v>
      </c>
      <c r="N45" s="106">
        <v>85030</v>
      </c>
      <c r="O45" s="106">
        <v>85533</v>
      </c>
      <c r="P45" s="106">
        <v>85697</v>
      </c>
      <c r="Q45" s="106">
        <f>'annual IS'!F46</f>
        <v>85564</v>
      </c>
      <c r="R45" s="245">
        <f>Q45</f>
        <v>85564</v>
      </c>
      <c r="S45" s="106">
        <v>86472</v>
      </c>
      <c r="T45" s="106">
        <v>87131</v>
      </c>
      <c r="U45" s="106">
        <v>87193</v>
      </c>
      <c r="V45" s="99">
        <f>'annual IS'!G46</f>
        <v>86870</v>
      </c>
      <c r="W45" s="245">
        <f>V45</f>
        <v>86870</v>
      </c>
      <c r="X45" s="99">
        <v>86655</v>
      </c>
      <c r="Y45" s="99">
        <v>86550</v>
      </c>
      <c r="Z45" s="99">
        <v>85995</v>
      </c>
      <c r="AA45"/>
      <c r="AB45"/>
      <c r="AC45"/>
      <c r="AD45"/>
      <c r="AE45"/>
      <c r="AF45"/>
      <c r="AG45"/>
      <c r="AH45"/>
      <c r="AI45"/>
    </row>
    <row r="46" spans="1:49" ht="16" x14ac:dyDescent="0.2">
      <c r="B46" s="23" t="s">
        <v>14</v>
      </c>
      <c r="C46" s="106">
        <v>75679</v>
      </c>
      <c r="D46" s="106">
        <v>81747</v>
      </c>
      <c r="E46" s="106">
        <v>83481</v>
      </c>
      <c r="F46" s="106">
        <v>83551</v>
      </c>
      <c r="G46" s="106">
        <f>SUM('annual IS'!D47)</f>
        <v>83133</v>
      </c>
      <c r="H46" s="106">
        <f>G46</f>
        <v>83133</v>
      </c>
      <c r="I46" s="106">
        <v>84022</v>
      </c>
      <c r="J46" s="106">
        <v>84443</v>
      </c>
      <c r="K46" s="106">
        <v>84572</v>
      </c>
      <c r="L46" s="245">
        <f>'annual IS'!E47</f>
        <v>84442</v>
      </c>
      <c r="M46" s="245">
        <f>L46</f>
        <v>84442</v>
      </c>
      <c r="N46" s="106">
        <v>86102</v>
      </c>
      <c r="O46" s="106">
        <v>86341</v>
      </c>
      <c r="P46" s="106">
        <v>87122</v>
      </c>
      <c r="Q46" s="106">
        <f>'annual IS'!F47</f>
        <v>86957</v>
      </c>
      <c r="R46" s="245">
        <f>Q46</f>
        <v>86957</v>
      </c>
      <c r="S46" s="106">
        <v>88324</v>
      </c>
      <c r="T46" s="106">
        <v>88646</v>
      </c>
      <c r="U46" s="106">
        <v>88634</v>
      </c>
      <c r="V46" s="99">
        <f>'annual IS'!G47</f>
        <v>88828</v>
      </c>
      <c r="W46" s="245">
        <f>V46</f>
        <v>88828</v>
      </c>
      <c r="X46" s="99">
        <v>88415</v>
      </c>
      <c r="Y46" s="99">
        <v>87746</v>
      </c>
      <c r="Z46" s="99">
        <v>86970</v>
      </c>
      <c r="AA46"/>
      <c r="AB46"/>
      <c r="AC46"/>
      <c r="AD46"/>
      <c r="AE46"/>
      <c r="AF46"/>
      <c r="AG46"/>
      <c r="AH46"/>
      <c r="AI46"/>
    </row>
    <row r="47" spans="1:49" ht="16" x14ac:dyDescent="0.2">
      <c r="B47" s="23" t="s">
        <v>147</v>
      </c>
      <c r="H47" s="24">
        <f>H46-C46</f>
        <v>7454</v>
      </c>
      <c r="I47" s="24">
        <f>I46-G46</f>
        <v>889</v>
      </c>
      <c r="J47" s="24">
        <f>J46-I46</f>
        <v>421</v>
      </c>
      <c r="K47" s="24">
        <f t="shared" ref="K47:L47" si="55">K46-J46</f>
        <v>129</v>
      </c>
      <c r="L47" s="24">
        <f t="shared" si="55"/>
        <v>-130</v>
      </c>
      <c r="M47" s="24">
        <f t="shared" ref="M47:W47" si="56">M46-H46</f>
        <v>1309</v>
      </c>
      <c r="N47" s="24">
        <f>N46-L46</f>
        <v>1660</v>
      </c>
      <c r="O47" s="24">
        <f>O46-N46</f>
        <v>239</v>
      </c>
      <c r="P47" s="24">
        <f t="shared" ref="P47" si="57">P46-O46</f>
        <v>781</v>
      </c>
      <c r="Q47" s="24">
        <f t="shared" ref="Q47" si="58">Q46-P46</f>
        <v>-165</v>
      </c>
      <c r="R47" s="24">
        <f t="shared" si="56"/>
        <v>2515</v>
      </c>
      <c r="S47" s="24">
        <f>S46-Q46</f>
        <v>1367</v>
      </c>
      <c r="T47" s="24">
        <f>T46-S46</f>
        <v>322</v>
      </c>
      <c r="U47" s="24">
        <f t="shared" ref="U47" si="59">U46-T46</f>
        <v>-12</v>
      </c>
      <c r="V47" s="24">
        <f t="shared" ref="V47" si="60">V46-U46</f>
        <v>194</v>
      </c>
      <c r="W47" s="24">
        <f t="shared" si="56"/>
        <v>1871</v>
      </c>
      <c r="X47" s="24">
        <f>X46-V46</f>
        <v>-413</v>
      </c>
      <c r="Y47" s="24">
        <f>Y46-X46</f>
        <v>-669</v>
      </c>
      <c r="Z47" s="24">
        <f t="shared" ref="Z47" si="61">Z46-Y46</f>
        <v>-776</v>
      </c>
      <c r="AA47"/>
      <c r="AB47"/>
      <c r="AC47"/>
      <c r="AD47"/>
      <c r="AE47"/>
      <c r="AF47"/>
      <c r="AG47"/>
      <c r="AH47"/>
      <c r="AI47"/>
    </row>
    <row r="48" spans="1:49" ht="16" x14ac:dyDescent="0.2">
      <c r="AA48"/>
      <c r="AB48"/>
      <c r="AC48"/>
      <c r="AD48"/>
      <c r="AE48"/>
      <c r="AF48"/>
      <c r="AG48"/>
      <c r="AH48"/>
      <c r="AI48"/>
    </row>
    <row r="49" spans="27:35" ht="16" x14ac:dyDescent="0.2">
      <c r="AA49"/>
      <c r="AB49"/>
      <c r="AC49"/>
      <c r="AD49"/>
      <c r="AE49"/>
      <c r="AF49"/>
      <c r="AG49"/>
      <c r="AH49"/>
      <c r="AI49"/>
    </row>
    <row r="50" spans="27:35" ht="16" x14ac:dyDescent="0.2">
      <c r="AA50"/>
      <c r="AB50"/>
      <c r="AC50"/>
      <c r="AD50"/>
      <c r="AE50"/>
      <c r="AF50"/>
      <c r="AG50"/>
      <c r="AH50"/>
      <c r="AI50"/>
    </row>
    <row r="51" spans="27:35" ht="16" x14ac:dyDescent="0.2">
      <c r="AA51"/>
      <c r="AB51"/>
      <c r="AC51"/>
      <c r="AD51"/>
      <c r="AE51"/>
      <c r="AF51"/>
      <c r="AG51"/>
      <c r="AH51"/>
      <c r="AI51"/>
    </row>
    <row r="52" spans="27:35" ht="16" x14ac:dyDescent="0.2">
      <c r="AA52"/>
      <c r="AB52"/>
      <c r="AC52"/>
      <c r="AD52"/>
      <c r="AE52"/>
      <c r="AF52"/>
      <c r="AG52"/>
      <c r="AH52"/>
      <c r="AI52"/>
    </row>
    <row r="53" spans="27:35" ht="16" x14ac:dyDescent="0.2">
      <c r="AA53"/>
      <c r="AB53"/>
      <c r="AC53"/>
      <c r="AD53"/>
      <c r="AE53"/>
      <c r="AF53"/>
      <c r="AG53"/>
      <c r="AH53"/>
      <c r="AI53"/>
    </row>
    <row r="54" spans="27:35" ht="16" x14ac:dyDescent="0.2">
      <c r="AA54"/>
      <c r="AB54"/>
      <c r="AC54"/>
      <c r="AD54"/>
      <c r="AE54"/>
      <c r="AF54"/>
      <c r="AG54"/>
      <c r="AH54"/>
      <c r="AI54"/>
    </row>
    <row r="55" spans="27:35" ht="16" x14ac:dyDescent="0.2">
      <c r="AA55"/>
      <c r="AB55"/>
      <c r="AC55"/>
      <c r="AD55"/>
      <c r="AE55"/>
      <c r="AF55"/>
      <c r="AG55"/>
      <c r="AH55"/>
      <c r="AI55"/>
    </row>
    <row r="56" spans="27:35" ht="16" x14ac:dyDescent="0.2">
      <c r="AA56"/>
      <c r="AB56"/>
      <c r="AC56"/>
      <c r="AD56"/>
      <c r="AE56"/>
      <c r="AF56"/>
      <c r="AG56"/>
      <c r="AH56"/>
      <c r="AI56"/>
    </row>
    <row r="57" spans="27:35" ht="16" x14ac:dyDescent="0.2">
      <c r="AA57"/>
      <c r="AB57"/>
      <c r="AC57"/>
      <c r="AD57"/>
      <c r="AE57"/>
      <c r="AF57"/>
      <c r="AG57"/>
      <c r="AH57"/>
      <c r="AI57"/>
    </row>
    <row r="58" spans="27:35" ht="16" x14ac:dyDescent="0.2">
      <c r="AA58"/>
      <c r="AB58"/>
      <c r="AC58"/>
      <c r="AD58"/>
      <c r="AE58"/>
      <c r="AF58"/>
      <c r="AG58"/>
      <c r="AH58"/>
      <c r="AI58"/>
    </row>
    <row r="59" spans="27:35" ht="16" x14ac:dyDescent="0.2">
      <c r="AA59"/>
      <c r="AB59"/>
      <c r="AC59"/>
      <c r="AD59"/>
      <c r="AE59"/>
      <c r="AF59"/>
      <c r="AG59"/>
      <c r="AH59"/>
      <c r="AI59"/>
    </row>
    <row r="60" spans="27:35" ht="16" x14ac:dyDescent="0.2">
      <c r="AA60"/>
      <c r="AB60"/>
      <c r="AC60"/>
      <c r="AD60"/>
      <c r="AE60"/>
      <c r="AF60"/>
      <c r="AG60"/>
      <c r="AH60"/>
      <c r="AI60"/>
    </row>
    <row r="61" spans="27:35" ht="16" x14ac:dyDescent="0.2">
      <c r="AA61"/>
      <c r="AB61"/>
      <c r="AC61"/>
      <c r="AD61"/>
      <c r="AE61"/>
      <c r="AF61"/>
      <c r="AG61"/>
      <c r="AH61"/>
      <c r="AI61"/>
    </row>
    <row r="62" spans="27:35" ht="16" x14ac:dyDescent="0.2">
      <c r="AA62"/>
      <c r="AB62"/>
      <c r="AC62"/>
      <c r="AD62"/>
      <c r="AE62"/>
      <c r="AF62"/>
      <c r="AG62"/>
      <c r="AH62"/>
      <c r="AI62"/>
    </row>
    <row r="63" spans="27:35" ht="16" x14ac:dyDescent="0.2">
      <c r="AA63"/>
      <c r="AB63"/>
      <c r="AC63"/>
      <c r="AD63"/>
      <c r="AE63"/>
      <c r="AF63"/>
      <c r="AG63"/>
      <c r="AH63"/>
      <c r="AI63"/>
    </row>
    <row r="64" spans="27:35" ht="16" x14ac:dyDescent="0.2">
      <c r="AA64"/>
      <c r="AB64"/>
      <c r="AC64"/>
      <c r="AD64"/>
      <c r="AE64"/>
      <c r="AF64"/>
      <c r="AG64"/>
      <c r="AH64"/>
      <c r="AI64"/>
    </row>
    <row r="65" spans="27:35" ht="16" x14ac:dyDescent="0.2">
      <c r="AA65"/>
      <c r="AB65"/>
      <c r="AC65"/>
      <c r="AD65"/>
      <c r="AE65"/>
      <c r="AF65"/>
      <c r="AG65"/>
      <c r="AH65"/>
      <c r="AI65"/>
    </row>
    <row r="66" spans="27:35" ht="16" x14ac:dyDescent="0.2">
      <c r="AA66"/>
      <c r="AB66"/>
      <c r="AC66"/>
      <c r="AD66"/>
      <c r="AE66"/>
      <c r="AF66"/>
      <c r="AG66"/>
      <c r="AH66"/>
      <c r="AI66"/>
    </row>
    <row r="67" spans="27:35" ht="16" x14ac:dyDescent="0.2">
      <c r="AA67"/>
      <c r="AB67"/>
      <c r="AC67"/>
      <c r="AD67"/>
      <c r="AE67"/>
      <c r="AF67"/>
      <c r="AG67"/>
      <c r="AH67"/>
      <c r="AI67"/>
    </row>
    <row r="68" spans="27:35" ht="16" x14ac:dyDescent="0.2">
      <c r="AA68"/>
      <c r="AB68"/>
      <c r="AC68"/>
      <c r="AD68"/>
      <c r="AE68"/>
      <c r="AF68"/>
      <c r="AG68"/>
      <c r="AH68"/>
      <c r="AI68"/>
    </row>
    <row r="69" spans="27:35" ht="16" x14ac:dyDescent="0.2">
      <c r="AA69"/>
      <c r="AB69"/>
      <c r="AC69"/>
      <c r="AD69"/>
      <c r="AE69"/>
      <c r="AF69"/>
      <c r="AG69"/>
      <c r="AH69"/>
      <c r="AI69"/>
    </row>
    <row r="70" spans="27:35" ht="16" x14ac:dyDescent="0.2">
      <c r="AA70"/>
      <c r="AB70"/>
      <c r="AC70"/>
      <c r="AD70"/>
      <c r="AE70"/>
      <c r="AF70"/>
      <c r="AG70"/>
      <c r="AH70"/>
      <c r="AI70"/>
    </row>
    <row r="71" spans="27:35" ht="16" x14ac:dyDescent="0.2">
      <c r="AA71"/>
      <c r="AB71"/>
      <c r="AC71"/>
      <c r="AD71"/>
      <c r="AE71"/>
      <c r="AF71"/>
      <c r="AG71"/>
      <c r="AH71"/>
      <c r="AI71"/>
    </row>
    <row r="72" spans="27:35" ht="16" x14ac:dyDescent="0.2">
      <c r="AA72"/>
      <c r="AB72"/>
      <c r="AC72"/>
      <c r="AD72"/>
      <c r="AE72"/>
      <c r="AF72"/>
      <c r="AG72"/>
      <c r="AH72"/>
      <c r="AI72"/>
    </row>
    <row r="73" spans="27:35" ht="16" x14ac:dyDescent="0.2">
      <c r="AA73"/>
      <c r="AB73"/>
      <c r="AC73"/>
      <c r="AD73"/>
      <c r="AE73"/>
      <c r="AF73"/>
      <c r="AG73"/>
      <c r="AH73"/>
      <c r="AI73"/>
    </row>
    <row r="74" spans="27:35" ht="16" x14ac:dyDescent="0.2">
      <c r="AA74"/>
      <c r="AB74"/>
      <c r="AC74"/>
      <c r="AD74"/>
      <c r="AE74"/>
      <c r="AF74"/>
      <c r="AG74"/>
      <c r="AH74"/>
      <c r="AI74"/>
    </row>
    <row r="75" spans="27:35" ht="16" x14ac:dyDescent="0.2">
      <c r="AA75"/>
      <c r="AB75"/>
      <c r="AC75"/>
      <c r="AD75"/>
      <c r="AE75"/>
      <c r="AF75"/>
      <c r="AG75"/>
      <c r="AH75"/>
      <c r="AI75"/>
    </row>
    <row r="76" spans="27:35" ht="16" x14ac:dyDescent="0.2">
      <c r="AA76"/>
      <c r="AB76"/>
      <c r="AC76"/>
      <c r="AD76"/>
      <c r="AE76"/>
      <c r="AF76"/>
      <c r="AG76"/>
      <c r="AH76"/>
      <c r="AI76"/>
    </row>
    <row r="77" spans="27:35" ht="16" x14ac:dyDescent="0.2">
      <c r="AA77"/>
      <c r="AB77"/>
      <c r="AC77"/>
      <c r="AD77"/>
      <c r="AE77"/>
      <c r="AF77"/>
      <c r="AG77"/>
      <c r="AH77"/>
      <c r="AI77"/>
    </row>
    <row r="78" spans="27:35" ht="16" x14ac:dyDescent="0.2">
      <c r="AA78"/>
      <c r="AB78"/>
      <c r="AC78"/>
      <c r="AD78"/>
      <c r="AE78"/>
      <c r="AF78"/>
      <c r="AG78"/>
      <c r="AH78"/>
      <c r="AI78"/>
    </row>
    <row r="79" spans="27:35" ht="16" x14ac:dyDescent="0.2">
      <c r="AA79"/>
      <c r="AB79"/>
      <c r="AC79"/>
      <c r="AD79"/>
      <c r="AE79"/>
      <c r="AF79"/>
      <c r="AG79"/>
      <c r="AH79"/>
      <c r="AI79"/>
    </row>
    <row r="80" spans="27:35" ht="16" x14ac:dyDescent="0.2">
      <c r="AA80"/>
      <c r="AB80"/>
      <c r="AC80"/>
      <c r="AD80"/>
      <c r="AE80"/>
      <c r="AF80"/>
      <c r="AG80"/>
      <c r="AH80"/>
      <c r="AI80"/>
    </row>
    <row r="81" spans="27:35" ht="16" x14ac:dyDescent="0.2">
      <c r="AA81"/>
      <c r="AB81"/>
      <c r="AC81"/>
      <c r="AD81"/>
      <c r="AE81"/>
      <c r="AF81"/>
      <c r="AG81"/>
      <c r="AH81"/>
      <c r="AI81"/>
    </row>
    <row r="82" spans="27:35" ht="16" x14ac:dyDescent="0.2">
      <c r="AA82"/>
      <c r="AB82"/>
      <c r="AC82"/>
      <c r="AD82"/>
      <c r="AE82"/>
      <c r="AF82"/>
      <c r="AG82"/>
      <c r="AH82"/>
      <c r="AI82"/>
    </row>
    <row r="83" spans="27:35" ht="16" x14ac:dyDescent="0.2">
      <c r="AA83"/>
      <c r="AB83"/>
      <c r="AC83"/>
      <c r="AD83"/>
      <c r="AE83"/>
      <c r="AF83"/>
      <c r="AG83"/>
      <c r="AH83"/>
      <c r="AI83"/>
    </row>
    <row r="84" spans="27:35" ht="16" x14ac:dyDescent="0.2">
      <c r="AA84"/>
      <c r="AB84"/>
      <c r="AC84"/>
      <c r="AD84"/>
      <c r="AE84"/>
      <c r="AF84"/>
      <c r="AG84"/>
      <c r="AH84"/>
      <c r="AI84"/>
    </row>
    <row r="85" spans="27:35" ht="16" x14ac:dyDescent="0.2">
      <c r="AA85"/>
      <c r="AB85"/>
      <c r="AC85"/>
      <c r="AD85"/>
      <c r="AE85"/>
      <c r="AF85"/>
      <c r="AG85"/>
      <c r="AH85"/>
      <c r="AI85"/>
    </row>
    <row r="86" spans="27:35" ht="16" x14ac:dyDescent="0.2">
      <c r="AA86"/>
      <c r="AB86"/>
      <c r="AC86"/>
      <c r="AD86"/>
      <c r="AE86"/>
      <c r="AF86"/>
      <c r="AG86"/>
      <c r="AH86"/>
      <c r="AI86"/>
    </row>
    <row r="87" spans="27:35" ht="16" x14ac:dyDescent="0.2">
      <c r="AA87"/>
      <c r="AB87"/>
      <c r="AC87"/>
      <c r="AD87"/>
      <c r="AE87"/>
      <c r="AF87"/>
      <c r="AG87"/>
      <c r="AH87"/>
      <c r="AI87"/>
    </row>
    <row r="88" spans="27:35" ht="16" x14ac:dyDescent="0.2">
      <c r="AA88"/>
      <c r="AB88"/>
      <c r="AC88"/>
      <c r="AD88"/>
      <c r="AE88"/>
      <c r="AF88"/>
      <c r="AG88"/>
      <c r="AH88"/>
      <c r="AI88"/>
    </row>
    <row r="89" spans="27:35" ht="16" x14ac:dyDescent="0.2">
      <c r="AA89"/>
      <c r="AB89"/>
      <c r="AC89"/>
      <c r="AD89"/>
      <c r="AE89"/>
      <c r="AF89"/>
      <c r="AG89"/>
      <c r="AH89"/>
      <c r="AI89"/>
    </row>
    <row r="90" spans="27:35" ht="16" x14ac:dyDescent="0.2">
      <c r="AA90"/>
      <c r="AB90"/>
      <c r="AC90"/>
      <c r="AD90"/>
      <c r="AE90"/>
      <c r="AF90"/>
      <c r="AG90"/>
      <c r="AH90"/>
      <c r="AI90"/>
    </row>
    <row r="91" spans="27:35" ht="16" x14ac:dyDescent="0.2">
      <c r="AA91"/>
      <c r="AB91"/>
      <c r="AC91"/>
      <c r="AD91"/>
      <c r="AE91"/>
      <c r="AF91"/>
      <c r="AG91"/>
      <c r="AH91"/>
      <c r="AI91"/>
    </row>
    <row r="92" spans="27:35" ht="16" x14ac:dyDescent="0.2">
      <c r="AA92"/>
      <c r="AB92"/>
      <c r="AC92"/>
      <c r="AD92"/>
      <c r="AE92"/>
      <c r="AF92"/>
      <c r="AG92"/>
      <c r="AH92"/>
      <c r="AI92"/>
    </row>
    <row r="93" spans="27:35" ht="16" x14ac:dyDescent="0.2">
      <c r="AA93"/>
      <c r="AB93"/>
      <c r="AC93"/>
      <c r="AD93"/>
      <c r="AE93"/>
      <c r="AF93"/>
      <c r="AG93"/>
      <c r="AH93"/>
      <c r="AI93"/>
    </row>
    <row r="94" spans="27:35" ht="16" x14ac:dyDescent="0.2">
      <c r="AA94"/>
      <c r="AB94"/>
      <c r="AC94"/>
      <c r="AD94"/>
      <c r="AE94"/>
      <c r="AF94"/>
      <c r="AG94"/>
      <c r="AH94"/>
      <c r="AI94"/>
    </row>
    <row r="95" spans="27:35" ht="16" x14ac:dyDescent="0.2">
      <c r="AA95"/>
      <c r="AB95"/>
      <c r="AC95"/>
      <c r="AD95"/>
      <c r="AE95"/>
      <c r="AF95"/>
      <c r="AG95"/>
      <c r="AH95"/>
      <c r="AI95"/>
    </row>
    <row r="96" spans="27:35" ht="16" x14ac:dyDescent="0.2">
      <c r="AA96"/>
      <c r="AB96"/>
      <c r="AC96"/>
      <c r="AD96"/>
      <c r="AE96"/>
      <c r="AF96"/>
      <c r="AG96"/>
      <c r="AH96"/>
      <c r="AI96"/>
    </row>
    <row r="97" spans="27:35" ht="16" x14ac:dyDescent="0.2">
      <c r="AA97"/>
      <c r="AB97"/>
      <c r="AC97"/>
      <c r="AD97"/>
      <c r="AE97"/>
      <c r="AF97"/>
      <c r="AG97"/>
      <c r="AH97"/>
      <c r="AI97"/>
    </row>
    <row r="98" spans="27:35" ht="16" x14ac:dyDescent="0.2">
      <c r="AA98"/>
      <c r="AB98"/>
      <c r="AC98"/>
      <c r="AD98"/>
      <c r="AE98"/>
      <c r="AF98"/>
      <c r="AG98"/>
      <c r="AH98"/>
      <c r="AI98"/>
    </row>
    <row r="99" spans="27:35" ht="16" x14ac:dyDescent="0.2">
      <c r="AA99"/>
      <c r="AB99"/>
      <c r="AC99"/>
      <c r="AD99"/>
      <c r="AE99"/>
      <c r="AF99"/>
      <c r="AG99"/>
      <c r="AH99"/>
      <c r="AI99"/>
    </row>
    <row r="100" spans="27:35" ht="16" x14ac:dyDescent="0.2">
      <c r="AA100"/>
      <c r="AB100"/>
      <c r="AC100"/>
      <c r="AD100"/>
      <c r="AE100"/>
      <c r="AF100"/>
      <c r="AG100"/>
      <c r="AH100"/>
      <c r="AI100"/>
    </row>
    <row r="101" spans="27:35" ht="16" x14ac:dyDescent="0.2">
      <c r="AA101"/>
      <c r="AB101"/>
      <c r="AC101"/>
      <c r="AD101"/>
      <c r="AE101"/>
      <c r="AF101"/>
      <c r="AG101"/>
      <c r="AH101"/>
      <c r="AI101"/>
    </row>
    <row r="102" spans="27:35" ht="16" x14ac:dyDescent="0.2">
      <c r="AA102"/>
      <c r="AB102"/>
      <c r="AC102"/>
      <c r="AD102"/>
      <c r="AE102"/>
      <c r="AF102"/>
      <c r="AG102"/>
      <c r="AH102"/>
      <c r="AI102"/>
    </row>
    <row r="103" spans="27:35" ht="16" x14ac:dyDescent="0.2">
      <c r="AA103"/>
      <c r="AB103"/>
      <c r="AC103"/>
      <c r="AD103"/>
      <c r="AE103"/>
      <c r="AF103"/>
      <c r="AG103"/>
      <c r="AH103"/>
      <c r="AI103"/>
    </row>
    <row r="104" spans="27:35" ht="16" x14ac:dyDescent="0.2">
      <c r="AA104"/>
      <c r="AB104"/>
      <c r="AC104"/>
      <c r="AD104"/>
      <c r="AE104"/>
      <c r="AF104"/>
      <c r="AG104"/>
      <c r="AH104"/>
      <c r="AI104"/>
    </row>
  </sheetData>
  <mergeCells count="1">
    <mergeCell ref="C1:Z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5030-B4E9-DF44-91EC-24612D956A83}">
  <sheetPr codeName="Sheet1"/>
  <dimension ref="A2:Z47"/>
  <sheetViews>
    <sheetView showGridLines="0" zoomScale="88"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N34" sqref="N34"/>
    </sheetView>
  </sheetViews>
  <sheetFormatPr baseColWidth="10" defaultColWidth="11.5" defaultRowHeight="14" x14ac:dyDescent="0.15"/>
  <cols>
    <col min="1" max="1" width="2.33203125" style="4" bestFit="1" customWidth="1"/>
    <col min="2" max="2" width="60.33203125" style="4" bestFit="1" customWidth="1"/>
    <col min="3" max="5" width="11.5" style="4" bestFit="1" customWidth="1"/>
    <col min="6" max="6" width="9.83203125" style="4" bestFit="1" customWidth="1"/>
    <col min="7" max="12" width="11.5" style="4" bestFit="1" customWidth="1"/>
    <col min="13" max="13" width="11.5" style="4"/>
    <col min="14" max="14" width="49.1640625" style="4" bestFit="1" customWidth="1"/>
    <col min="15" max="17" width="11.5" style="4"/>
    <col min="18" max="18" width="5.5" style="4" bestFit="1" customWidth="1"/>
    <col min="19" max="19" width="1.5" style="4" bestFit="1" customWidth="1"/>
    <col min="20" max="21" width="5.5" style="4" bestFit="1" customWidth="1"/>
    <col min="22" max="22" width="11.5" style="4"/>
    <col min="23" max="23" width="1.5" style="4" bestFit="1" customWidth="1"/>
    <col min="24" max="24" width="5.5" style="4" bestFit="1" customWidth="1"/>
    <col min="25" max="16384" width="11.5" style="4"/>
  </cols>
  <sheetData>
    <row r="2" spans="1:26" x14ac:dyDescent="0.15">
      <c r="B2" s="6" t="s">
        <v>34</v>
      </c>
      <c r="C2" s="319" t="s">
        <v>0</v>
      </c>
      <c r="D2" s="319"/>
      <c r="E2" s="319"/>
      <c r="F2" s="319"/>
      <c r="G2" s="319"/>
      <c r="H2" s="319" t="s">
        <v>1</v>
      </c>
      <c r="I2" s="319"/>
      <c r="J2" s="319"/>
      <c r="K2" s="319"/>
      <c r="L2" s="319"/>
    </row>
    <row r="3" spans="1:26" x14ac:dyDescent="0.15">
      <c r="B3" s="6"/>
      <c r="C3" s="104">
        <v>2020</v>
      </c>
      <c r="D3" s="104">
        <f>C3+1</f>
        <v>2021</v>
      </c>
      <c r="E3" s="104">
        <f t="shared" ref="E3:L3" si="0">D3+1</f>
        <v>2022</v>
      </c>
      <c r="F3" s="104">
        <f t="shared" si="0"/>
        <v>2023</v>
      </c>
      <c r="G3" s="104">
        <f t="shared" si="0"/>
        <v>2024</v>
      </c>
      <c r="H3" s="98">
        <f>G3+1</f>
        <v>2025</v>
      </c>
      <c r="I3" s="98">
        <f t="shared" si="0"/>
        <v>2026</v>
      </c>
      <c r="J3" s="98">
        <f t="shared" si="0"/>
        <v>2027</v>
      </c>
      <c r="K3" s="98">
        <f t="shared" si="0"/>
        <v>2028</v>
      </c>
      <c r="L3" s="98">
        <f t="shared" si="0"/>
        <v>2029</v>
      </c>
      <c r="O3" s="22"/>
      <c r="P3" s="22"/>
      <c r="Q3" s="1"/>
      <c r="R3" s="22"/>
      <c r="S3" s="1"/>
      <c r="T3" s="22"/>
    </row>
    <row r="4" spans="1:26" x14ac:dyDescent="0.15">
      <c r="B4" s="70" t="s">
        <v>2</v>
      </c>
      <c r="C4" s="13"/>
      <c r="D4" s="13"/>
      <c r="E4" s="11"/>
      <c r="F4" s="13"/>
      <c r="G4" s="13"/>
      <c r="N4" s="1"/>
      <c r="O4" s="1"/>
      <c r="P4" s="1"/>
      <c r="Q4" s="105"/>
      <c r="R4" s="105"/>
      <c r="S4" s="1"/>
      <c r="T4" s="1"/>
      <c r="U4" s="105"/>
      <c r="V4" s="105"/>
      <c r="W4" s="1"/>
      <c r="X4" s="1"/>
      <c r="Y4" s="105"/>
    </row>
    <row r="5" spans="1:26" x14ac:dyDescent="0.15">
      <c r="B5" s="23" t="s">
        <v>17</v>
      </c>
      <c r="C5" s="99">
        <v>430966</v>
      </c>
      <c r="D5" s="99">
        <v>426910</v>
      </c>
      <c r="E5" s="99">
        <v>452026</v>
      </c>
      <c r="F5" s="99">
        <v>455690</v>
      </c>
      <c r="G5" s="99">
        <v>478317</v>
      </c>
      <c r="H5" s="114">
        <f>'Revenue Build'!X3</f>
        <v>491352.42181323457</v>
      </c>
      <c r="I5" s="114">
        <f>'Revenue Build'!Y3</f>
        <v>505600.02193973551</v>
      </c>
      <c r="J5" s="114">
        <f>'Revenue Build'!Z3</f>
        <v>522131.76604866493</v>
      </c>
      <c r="K5" s="114">
        <f>'Revenue Build'!AA3</f>
        <v>539980.28039141092</v>
      </c>
      <c r="L5" s="114">
        <f>'Revenue Build'!AB3</f>
        <v>559558.64280435629</v>
      </c>
      <c r="N5" s="1"/>
      <c r="O5" s="1"/>
      <c r="P5" s="105"/>
      <c r="Q5" s="105"/>
      <c r="R5" s="1"/>
      <c r="S5" s="105"/>
      <c r="T5" s="105"/>
      <c r="U5" s="1"/>
      <c r="V5" s="105"/>
      <c r="Z5" s="1"/>
    </row>
    <row r="6" spans="1:26" x14ac:dyDescent="0.15">
      <c r="B6" s="23" t="s">
        <v>18</v>
      </c>
      <c r="C6" s="99">
        <v>190933</v>
      </c>
      <c r="D6" s="99">
        <v>202817</v>
      </c>
      <c r="E6" s="99">
        <v>261282</v>
      </c>
      <c r="F6" s="99">
        <v>386594</v>
      </c>
      <c r="G6" s="99">
        <v>545414</v>
      </c>
      <c r="H6" s="114">
        <f>'Revenue Build'!X4</f>
        <v>662102.21533246059</v>
      </c>
      <c r="I6" s="114">
        <f>'Revenue Build'!Y4</f>
        <v>750965.44097212935</v>
      </c>
      <c r="J6" s="114">
        <f>'Revenue Build'!Z4</f>
        <v>838801.14604795945</v>
      </c>
      <c r="K6" s="114">
        <f>'Revenue Build'!AA4</f>
        <v>893208.90560322022</v>
      </c>
      <c r="L6" s="114">
        <f>'Revenue Build'!AB4</f>
        <v>951582.2287642943</v>
      </c>
      <c r="N6" s="1"/>
      <c r="O6" s="1"/>
      <c r="P6" s="105"/>
      <c r="Q6" s="105"/>
      <c r="R6" s="1"/>
      <c r="S6" s="105"/>
      <c r="T6" s="105"/>
      <c r="U6" s="1"/>
      <c r="V6" s="105"/>
    </row>
    <row r="7" spans="1:26" x14ac:dyDescent="0.15">
      <c r="B7" s="23" t="s">
        <v>19</v>
      </c>
      <c r="C7" s="99">
        <v>111671</v>
      </c>
      <c r="D7" s="99">
        <v>126829</v>
      </c>
      <c r="E7" s="99">
        <v>148440</v>
      </c>
      <c r="F7" s="99">
        <v>157303</v>
      </c>
      <c r="G7" s="99">
        <v>176043</v>
      </c>
      <c r="H7" s="114">
        <f>'Revenue Build'!X5</f>
        <v>185908.65880529853</v>
      </c>
      <c r="I7" s="114">
        <f>'Revenue Build'!Y5</f>
        <v>196655.06430126121</v>
      </c>
      <c r="J7" s="114">
        <f>'Revenue Build'!Z5</f>
        <v>208764.99848298324</v>
      </c>
      <c r="K7" s="114">
        <f>'Revenue Build'!AA5</f>
        <v>221933.57045508726</v>
      </c>
      <c r="L7" s="114">
        <f>'Revenue Build'!AB5</f>
        <v>236399.34639190699</v>
      </c>
      <c r="N7" s="1"/>
      <c r="O7" s="1"/>
      <c r="P7" s="105"/>
      <c r="Q7" s="105"/>
      <c r="R7" s="1"/>
      <c r="S7" s="105"/>
      <c r="T7" s="105"/>
      <c r="U7" s="1"/>
      <c r="V7" s="105"/>
    </row>
    <row r="8" spans="1:26" ht="15" thickBot="1" x14ac:dyDescent="0.2">
      <c r="A8" s="4" t="s">
        <v>36</v>
      </c>
      <c r="B8" s="70" t="s">
        <v>3</v>
      </c>
      <c r="C8" s="12">
        <f>SUM(C5:C7)</f>
        <v>733570</v>
      </c>
      <c r="D8" s="12">
        <f t="shared" ref="D8:L8" si="1">SUM(D5:D7)</f>
        <v>756556</v>
      </c>
      <c r="E8" s="12">
        <f t="shared" si="1"/>
        <v>861748</v>
      </c>
      <c r="F8" s="12">
        <f t="shared" si="1"/>
        <v>999587</v>
      </c>
      <c r="G8" s="12">
        <f t="shared" si="1"/>
        <v>1199774</v>
      </c>
      <c r="H8" s="12">
        <f t="shared" si="1"/>
        <v>1339363.2959509939</v>
      </c>
      <c r="I8" s="12">
        <f t="shared" si="1"/>
        <v>1453220.527213126</v>
      </c>
      <c r="J8" s="12">
        <f t="shared" si="1"/>
        <v>1569697.9105796076</v>
      </c>
      <c r="K8" s="12">
        <f t="shared" si="1"/>
        <v>1655122.7564497185</v>
      </c>
      <c r="L8" s="12">
        <f t="shared" si="1"/>
        <v>1747540.2179605574</v>
      </c>
      <c r="N8" s="1"/>
      <c r="O8" s="105"/>
      <c r="P8" s="105"/>
      <c r="Q8" s="105"/>
      <c r="R8" s="105"/>
      <c r="S8" s="105"/>
    </row>
    <row r="9" spans="1:26" ht="15" thickTop="1" x14ac:dyDescent="0.15">
      <c r="B9" s="71" t="s">
        <v>38</v>
      </c>
      <c r="C9" s="35"/>
      <c r="D9" s="35">
        <f>(D8-C8)/C8</f>
        <v>3.1334432978447867E-2</v>
      </c>
      <c r="E9" s="35">
        <f t="shared" ref="E9:G9" si="2">(E8-D8)/D8</f>
        <v>0.13904059977053912</v>
      </c>
      <c r="F9" s="35">
        <f t="shared" si="2"/>
        <v>0.15995279362412212</v>
      </c>
      <c r="G9" s="35">
        <f t="shared" si="2"/>
        <v>0.20026971139080441</v>
      </c>
      <c r="H9" s="35">
        <f t="shared" ref="H9" si="3">(H8-G8)/G8</f>
        <v>0.11634632518373784</v>
      </c>
      <c r="I9" s="35">
        <f t="shared" ref="I9" si="4">(I8-H8)/H8</f>
        <v>8.500847500176531E-2</v>
      </c>
      <c r="J9" s="35">
        <f t="shared" ref="J9" si="5">(J8-I8)/I8</f>
        <v>8.0151209802859696E-2</v>
      </c>
      <c r="K9" s="35">
        <f t="shared" ref="K9" si="6">(K8-J8)/J8</f>
        <v>5.4421201235190508E-2</v>
      </c>
      <c r="L9" s="35">
        <f t="shared" ref="L9" si="7">(L8-K8)/K8</f>
        <v>5.5837224852781801E-2</v>
      </c>
      <c r="N9" s="1"/>
      <c r="O9" s="1"/>
      <c r="P9" s="105"/>
      <c r="Q9" s="105"/>
      <c r="R9" s="1"/>
      <c r="S9" s="105"/>
      <c r="T9" s="105"/>
      <c r="U9" s="1"/>
      <c r="V9" s="105"/>
    </row>
    <row r="10" spans="1:26" x14ac:dyDescent="0.15">
      <c r="B10" s="23"/>
      <c r="C10" s="11"/>
      <c r="D10" s="11"/>
      <c r="E10" s="11"/>
      <c r="F10" s="11"/>
      <c r="G10" s="11"/>
      <c r="N10" s="1"/>
      <c r="O10" s="1"/>
      <c r="P10" s="105"/>
      <c r="Q10" s="105"/>
      <c r="R10" s="1"/>
      <c r="S10" s="105"/>
      <c r="T10" s="105"/>
      <c r="U10" s="1"/>
      <c r="V10" s="105"/>
    </row>
    <row r="11" spans="1:26" x14ac:dyDescent="0.15">
      <c r="B11" s="70" t="s">
        <v>5</v>
      </c>
      <c r="C11" s="99"/>
      <c r="D11" s="99"/>
      <c r="E11" s="99"/>
      <c r="F11" s="99"/>
      <c r="G11" s="99"/>
      <c r="N11" s="1"/>
      <c r="O11" s="1"/>
      <c r="P11" s="105"/>
      <c r="Q11" s="105"/>
      <c r="R11" s="1"/>
      <c r="S11" s="105"/>
      <c r="T11" s="105"/>
      <c r="U11" s="1"/>
      <c r="V11" s="105"/>
    </row>
    <row r="12" spans="1:26" x14ac:dyDescent="0.15">
      <c r="B12" s="23" t="s">
        <v>20</v>
      </c>
      <c r="C12" s="99">
        <v>280214</v>
      </c>
      <c r="D12" s="99">
        <v>290302</v>
      </c>
      <c r="E12" s="99">
        <v>318516</v>
      </c>
      <c r="F12" s="99">
        <v>317357</v>
      </c>
      <c r="G12" s="99">
        <v>351588</v>
      </c>
      <c r="H12" s="114">
        <f>'Expense Build'!AA5</f>
        <v>353773.7437055289</v>
      </c>
      <c r="I12" s="114">
        <f>'Expense Build'!AB5</f>
        <v>369088.01601600694</v>
      </c>
      <c r="J12" s="114">
        <f>'Expense Build'!AC5</f>
        <v>386377.50687601202</v>
      </c>
      <c r="K12" s="114">
        <f>'Expense Build'!AD5</f>
        <v>404985.21029355819</v>
      </c>
      <c r="L12" s="114">
        <f>'Expense Build'!AE5</f>
        <v>425264.56853131077</v>
      </c>
      <c r="N12" s="1"/>
      <c r="O12" s="1"/>
      <c r="P12" s="105"/>
      <c r="Q12" s="105"/>
      <c r="R12" s="1"/>
      <c r="S12" s="105"/>
      <c r="T12" s="105"/>
      <c r="U12" s="1"/>
      <c r="V12" s="105"/>
    </row>
    <row r="13" spans="1:26" x14ac:dyDescent="0.15">
      <c r="B13" s="23" t="s">
        <v>21</v>
      </c>
      <c r="C13" s="99">
        <v>19574</v>
      </c>
      <c r="D13" s="99">
        <v>21867</v>
      </c>
      <c r="E13" s="99">
        <v>26101</v>
      </c>
      <c r="F13" s="99">
        <v>32502</v>
      </c>
      <c r="G13" s="99">
        <v>39675</v>
      </c>
      <c r="H13" s="114">
        <f>'Expense Build'!AA6</f>
        <v>48163.240021919817</v>
      </c>
      <c r="I13" s="114">
        <f>'Expense Build'!AB6</f>
        <v>50872.582195281684</v>
      </c>
      <c r="J13" s="114">
        <f>'Expense Build'!AC6</f>
        <v>52628.82248484045</v>
      </c>
      <c r="K13" s="114">
        <f>'Expense Build'!AD6</f>
        <v>51576.478966798873</v>
      </c>
      <c r="L13" s="114">
        <f>'Expense Build'!AE6</f>
        <v>50189.213206552085</v>
      </c>
      <c r="N13" s="1"/>
      <c r="O13" s="1"/>
      <c r="P13" s="105"/>
      <c r="Q13" s="105"/>
      <c r="R13" s="1"/>
      <c r="S13" s="105"/>
      <c r="T13" s="105"/>
      <c r="U13" s="1"/>
      <c r="V13" s="105"/>
    </row>
    <row r="14" spans="1:26" x14ac:dyDescent="0.15">
      <c r="B14" s="23" t="s">
        <v>22</v>
      </c>
      <c r="C14" s="99">
        <v>18448</v>
      </c>
      <c r="D14" s="99">
        <v>20681</v>
      </c>
      <c r="E14" s="99">
        <v>25196</v>
      </c>
      <c r="F14" s="99">
        <v>27091</v>
      </c>
      <c r="G14" s="99">
        <v>31252</v>
      </c>
      <c r="H14" s="114">
        <f>'Expense Build'!AA7</f>
        <v>31520.694952905917</v>
      </c>
      <c r="I14" s="114">
        <f>'Expense Build'!AB7</f>
        <v>33342.741175256575</v>
      </c>
      <c r="J14" s="114">
        <f>'Expense Build'!AC7</f>
        <v>35395.972819736322</v>
      </c>
      <c r="K14" s="114">
        <f>'Expense Build'!AD7</f>
        <v>37628.695828796335</v>
      </c>
      <c r="L14" s="114">
        <f>'Expense Build'!AE7</f>
        <v>40081.358945682776</v>
      </c>
      <c r="N14" s="1"/>
      <c r="O14" s="105"/>
      <c r="P14" s="105"/>
      <c r="Q14" s="105"/>
      <c r="R14" s="105"/>
      <c r="S14" s="105"/>
    </row>
    <row r="15" spans="1:26" x14ac:dyDescent="0.15">
      <c r="B15" s="11" t="s">
        <v>23</v>
      </c>
      <c r="C15" s="102">
        <f>SUM(C12:C14)</f>
        <v>318236</v>
      </c>
      <c r="D15" s="102">
        <f t="shared" ref="D15:L15" si="8">SUM(D12:D14)</f>
        <v>332850</v>
      </c>
      <c r="E15" s="102">
        <f t="shared" si="8"/>
        <v>369813</v>
      </c>
      <c r="F15" s="102">
        <f t="shared" si="8"/>
        <v>376950</v>
      </c>
      <c r="G15" s="102">
        <f t="shared" si="8"/>
        <v>422515</v>
      </c>
      <c r="H15" s="102">
        <f t="shared" si="8"/>
        <v>433457.67868035467</v>
      </c>
      <c r="I15" s="102">
        <f t="shared" si="8"/>
        <v>453303.33938654518</v>
      </c>
      <c r="J15" s="102">
        <f t="shared" si="8"/>
        <v>474402.30218058883</v>
      </c>
      <c r="K15" s="102">
        <f t="shared" si="8"/>
        <v>494190.38508915342</v>
      </c>
      <c r="L15" s="102">
        <f t="shared" si="8"/>
        <v>515535.14068354561</v>
      </c>
      <c r="N15" s="1"/>
      <c r="O15" s="1"/>
      <c r="P15" s="105"/>
      <c r="Q15" s="105"/>
      <c r="R15" s="1"/>
      <c r="S15" s="105"/>
      <c r="T15" s="105"/>
      <c r="U15" s="1"/>
      <c r="V15" s="105"/>
    </row>
    <row r="16" spans="1:26" ht="15" thickBot="1" x14ac:dyDescent="0.2">
      <c r="A16" s="4" t="s">
        <v>36</v>
      </c>
      <c r="B16" s="70" t="s">
        <v>27</v>
      </c>
      <c r="C16" s="12">
        <f>C8-C15</f>
        <v>415334</v>
      </c>
      <c r="D16" s="12">
        <f t="shared" ref="D16:L16" si="9">D8-D15</f>
        <v>423706</v>
      </c>
      <c r="E16" s="12">
        <f t="shared" si="9"/>
        <v>491935</v>
      </c>
      <c r="F16" s="12">
        <f t="shared" si="9"/>
        <v>622637</v>
      </c>
      <c r="G16" s="12">
        <f t="shared" si="9"/>
        <v>777259</v>
      </c>
      <c r="H16" s="12">
        <f t="shared" si="9"/>
        <v>905905.61727063917</v>
      </c>
      <c r="I16" s="12">
        <f t="shared" si="9"/>
        <v>999917.18782658083</v>
      </c>
      <c r="J16" s="12">
        <f t="shared" si="9"/>
        <v>1095295.6083990186</v>
      </c>
      <c r="K16" s="12">
        <f t="shared" si="9"/>
        <v>1160932.3713605651</v>
      </c>
      <c r="L16" s="12">
        <f t="shared" si="9"/>
        <v>1232005.0772770117</v>
      </c>
      <c r="N16" s="1"/>
      <c r="O16" s="1"/>
      <c r="P16" s="105"/>
      <c r="Q16" s="105"/>
      <c r="R16" s="1"/>
      <c r="S16" s="105"/>
      <c r="T16" s="105"/>
      <c r="U16" s="1"/>
      <c r="V16" s="105"/>
    </row>
    <row r="17" spans="1:26" ht="15" thickTop="1" x14ac:dyDescent="0.15">
      <c r="B17" s="23" t="s">
        <v>35</v>
      </c>
      <c r="C17" s="3">
        <f>C16/C8</f>
        <v>0.56618182313889609</v>
      </c>
      <c r="D17" s="3">
        <f t="shared" ref="D17:L17" si="10">D16/D8</f>
        <v>0.56004578643220071</v>
      </c>
      <c r="E17" s="3">
        <f t="shared" si="10"/>
        <v>0.57085714153093481</v>
      </c>
      <c r="F17" s="3">
        <f t="shared" si="10"/>
        <v>0.62289425532745024</v>
      </c>
      <c r="G17" s="3">
        <f t="shared" si="10"/>
        <v>0.64783784279372614</v>
      </c>
      <c r="H17" s="3">
        <f t="shared" si="10"/>
        <v>0.67637034702180265</v>
      </c>
      <c r="I17" s="3">
        <f t="shared" si="10"/>
        <v>0.68806982085791535</v>
      </c>
      <c r="J17" s="3">
        <f t="shared" si="10"/>
        <v>0.69777477629092532</v>
      </c>
      <c r="K17" s="3">
        <f t="shared" si="10"/>
        <v>0.70141768448087516</v>
      </c>
      <c r="L17" s="3">
        <f t="shared" si="10"/>
        <v>0.70499383339789812</v>
      </c>
      <c r="N17" s="1"/>
      <c r="O17" s="1"/>
      <c r="P17" s="105"/>
      <c r="Q17" s="105"/>
      <c r="R17" s="1"/>
      <c r="S17" s="105"/>
      <c r="T17" s="105"/>
      <c r="U17" s="1"/>
      <c r="V17" s="105"/>
    </row>
    <row r="18" spans="1:26" x14ac:dyDescent="0.15">
      <c r="B18" s="23"/>
      <c r="C18" s="3"/>
      <c r="D18" s="3"/>
      <c r="E18" s="3"/>
      <c r="F18" s="3"/>
      <c r="G18" s="3"/>
      <c r="H18" s="3"/>
      <c r="I18" s="3"/>
      <c r="J18" s="3"/>
      <c r="K18" s="3"/>
      <c r="L18" s="3"/>
      <c r="N18" s="1"/>
      <c r="O18" s="1"/>
      <c r="P18" s="105"/>
      <c r="Q18" s="105"/>
      <c r="R18" s="1"/>
      <c r="S18" s="105"/>
      <c r="T18" s="105"/>
      <c r="U18" s="1"/>
      <c r="V18" s="105"/>
    </row>
    <row r="19" spans="1:26" x14ac:dyDescent="0.15">
      <c r="B19" s="70" t="s">
        <v>4</v>
      </c>
      <c r="C19" s="99"/>
      <c r="D19" s="99"/>
      <c r="E19" s="99"/>
      <c r="F19" s="99"/>
      <c r="G19" s="99"/>
      <c r="N19" s="1"/>
      <c r="O19" s="1"/>
      <c r="P19" s="105"/>
      <c r="Q19" s="105"/>
      <c r="R19" s="1"/>
      <c r="S19" s="105"/>
      <c r="T19" s="105"/>
      <c r="U19" s="1"/>
      <c r="V19" s="105"/>
    </row>
    <row r="20" spans="1:26" x14ac:dyDescent="0.15">
      <c r="B20" s="23" t="s">
        <v>24</v>
      </c>
      <c r="C20" s="99">
        <v>49964</v>
      </c>
      <c r="D20" s="99">
        <v>58605</v>
      </c>
      <c r="E20" s="99">
        <v>68849</v>
      </c>
      <c r="F20" s="99">
        <v>79273</v>
      </c>
      <c r="G20" s="99">
        <v>90739</v>
      </c>
      <c r="H20" s="114">
        <f>'Expense Build'!AA10</f>
        <v>101899.8401342821</v>
      </c>
      <c r="I20" s="114">
        <f>'Expense Build'!AB10</f>
        <v>110562.19014702112</v>
      </c>
      <c r="J20" s="114">
        <f>'Expense Build'!AC10</f>
        <v>119423.88344575866</v>
      </c>
      <c r="K20" s="114">
        <f>'Expense Build'!AD10</f>
        <v>125923.07463904824</v>
      </c>
      <c r="L20" s="114">
        <f>'Expense Build'!AE10</f>
        <v>132954.2696718224</v>
      </c>
      <c r="N20" s="1"/>
      <c r="O20" s="1"/>
      <c r="P20" s="105"/>
      <c r="Q20" s="105"/>
      <c r="R20" s="1"/>
      <c r="S20" s="105"/>
      <c r="T20" s="105"/>
      <c r="U20" s="1"/>
      <c r="V20" s="105"/>
    </row>
    <row r="21" spans="1:26" x14ac:dyDescent="0.15">
      <c r="B21" s="23" t="s">
        <v>25</v>
      </c>
      <c r="C21" s="99">
        <v>124809</v>
      </c>
      <c r="D21" s="99">
        <v>157364</v>
      </c>
      <c r="E21" s="99">
        <v>193375</v>
      </c>
      <c r="F21" s="99">
        <v>218811</v>
      </c>
      <c r="G21" s="99">
        <v>239513</v>
      </c>
      <c r="H21" s="114">
        <f>'Expense Build'!AA11</f>
        <v>273517.10202039644</v>
      </c>
      <c r="I21" s="114">
        <f>'Expense Build'!AB11</f>
        <v>296768.37375005259</v>
      </c>
      <c r="J21" s="114">
        <f>'Expense Build'!AC11</f>
        <v>320554.71793734655</v>
      </c>
      <c r="K21" s="114">
        <f>'Expense Build'!AD11</f>
        <v>337999.69074910466</v>
      </c>
      <c r="L21" s="114">
        <f>'Expense Build'!AE11</f>
        <v>356872.65548163309</v>
      </c>
      <c r="N21" s="1"/>
      <c r="O21" s="1"/>
      <c r="P21" s="105"/>
      <c r="Q21" s="105"/>
      <c r="R21" s="1"/>
      <c r="S21" s="105"/>
      <c r="T21" s="105"/>
      <c r="U21" s="1"/>
      <c r="V21" s="105"/>
    </row>
    <row r="22" spans="1:26" x14ac:dyDescent="0.15">
      <c r="B22" s="11" t="s">
        <v>26</v>
      </c>
      <c r="C22" s="99">
        <v>84493</v>
      </c>
      <c r="D22" s="99">
        <v>84379</v>
      </c>
      <c r="E22" s="99">
        <v>97472</v>
      </c>
      <c r="F22" s="99">
        <v>103656</v>
      </c>
      <c r="G22" s="99">
        <v>132260</v>
      </c>
      <c r="H22" s="114">
        <f>'Expense Build'!AA12</f>
        <v>148336.32072101362</v>
      </c>
      <c r="I22" s="114">
        <f>'Expense Build'!AB12</f>
        <v>160946.16513287975</v>
      </c>
      <c r="J22" s="114">
        <f>'Expense Build'!AC12</f>
        <v>173846.1949814109</v>
      </c>
      <c r="K22" s="114">
        <f>'Expense Build'!AD12</f>
        <v>183307.1137424664</v>
      </c>
      <c r="L22" s="114">
        <f>'Expense Build'!AE12</f>
        <v>193542.47426961898</v>
      </c>
      <c r="N22" s="1"/>
      <c r="O22" s="2"/>
      <c r="P22" s="105"/>
      <c r="Q22" s="105"/>
      <c r="R22" s="1"/>
      <c r="S22" s="105"/>
      <c r="T22" s="105"/>
      <c r="U22" s="1"/>
      <c r="V22" s="105"/>
    </row>
    <row r="23" spans="1:26" x14ac:dyDescent="0.15">
      <c r="B23" s="23" t="s">
        <v>28</v>
      </c>
      <c r="C23" s="99">
        <v>76064</v>
      </c>
      <c r="D23" s="99">
        <v>82791</v>
      </c>
      <c r="E23" s="99">
        <v>94586</v>
      </c>
      <c r="F23" s="99">
        <v>92763</v>
      </c>
      <c r="G23" s="99">
        <v>111878</v>
      </c>
      <c r="H23" s="114">
        <f>'Expense Build'!AA13</f>
        <v>136329.17653740724</v>
      </c>
      <c r="I23" s="114">
        <f>'Expense Build'!AB13</f>
        <v>147918.31193309868</v>
      </c>
      <c r="J23" s="114">
        <f>'Expense Build'!AC13</f>
        <v>159774.14358653332</v>
      </c>
      <c r="K23" s="114">
        <f>'Expense Build'!AD13</f>
        <v>168469.24440683625</v>
      </c>
      <c r="L23" s="114">
        <f>'Expense Build'!AE13</f>
        <v>177876.09948755903</v>
      </c>
      <c r="N23" s="1"/>
      <c r="O23" s="105"/>
      <c r="P23" s="105"/>
      <c r="Q23" s="105"/>
      <c r="R23" s="105"/>
      <c r="S23" s="105"/>
    </row>
    <row r="24" spans="1:26" x14ac:dyDescent="0.15">
      <c r="B24" s="23" t="s">
        <v>29</v>
      </c>
      <c r="C24" s="99">
        <v>45990</v>
      </c>
      <c r="D24" s="99">
        <v>64805</v>
      </c>
      <c r="E24" s="99">
        <v>28596</v>
      </c>
      <c r="F24" s="99">
        <v>10435</v>
      </c>
      <c r="G24" s="99">
        <v>40535</v>
      </c>
      <c r="H24" s="114">
        <f>'Expense Build'!AA14</f>
        <v>4710</v>
      </c>
      <c r="I24" s="114">
        <f>'Expense Build'!AB14</f>
        <v>0</v>
      </c>
      <c r="J24" s="114">
        <f>'Expense Build'!AC14</f>
        <v>0</v>
      </c>
      <c r="K24" s="114">
        <f>'Expense Build'!AD14</f>
        <v>0</v>
      </c>
      <c r="L24" s="114">
        <f>'Expense Build'!AE14</f>
        <v>0</v>
      </c>
      <c r="N24" s="1"/>
      <c r="O24" s="2"/>
      <c r="P24" s="105"/>
      <c r="Q24" s="105"/>
      <c r="R24" s="2"/>
      <c r="S24" s="105"/>
      <c r="T24" s="105"/>
      <c r="U24" s="2"/>
      <c r="V24" s="105"/>
    </row>
    <row r="25" spans="1:26" x14ac:dyDescent="0.15">
      <c r="B25" s="11" t="s">
        <v>6</v>
      </c>
      <c r="C25" s="102">
        <f t="shared" ref="C25:L25" si="11">SUM(C20:C24)</f>
        <v>381320</v>
      </c>
      <c r="D25" s="102">
        <f t="shared" si="11"/>
        <v>447944</v>
      </c>
      <c r="E25" s="102">
        <f t="shared" si="11"/>
        <v>482878</v>
      </c>
      <c r="F25" s="102">
        <f t="shared" si="11"/>
        <v>504938</v>
      </c>
      <c r="G25" s="102">
        <f t="shared" si="11"/>
        <v>614925</v>
      </c>
      <c r="H25" s="102">
        <f t="shared" si="11"/>
        <v>664792.43941309932</v>
      </c>
      <c r="I25" s="102">
        <f t="shared" si="11"/>
        <v>716195.04096305219</v>
      </c>
      <c r="J25" s="102">
        <f t="shared" si="11"/>
        <v>773598.9399510494</v>
      </c>
      <c r="K25" s="102">
        <f t="shared" si="11"/>
        <v>815699.12353745557</v>
      </c>
      <c r="L25" s="102">
        <f t="shared" si="11"/>
        <v>861245.4989106335</v>
      </c>
      <c r="N25" s="1"/>
      <c r="O25" s="2"/>
      <c r="P25" s="105"/>
      <c r="Q25" s="105"/>
      <c r="R25" s="1"/>
      <c r="S25" s="105"/>
      <c r="T25" s="105"/>
      <c r="U25" s="2"/>
      <c r="V25" s="105"/>
    </row>
    <row r="26" spans="1:26" x14ac:dyDescent="0.15">
      <c r="B26" s="23" t="s">
        <v>39</v>
      </c>
      <c r="D26" s="35">
        <f>(D25-C25)/C25</f>
        <v>0.17471939578306933</v>
      </c>
      <c r="E26" s="35">
        <f t="shared" ref="E26:G26" si="12">(E25-D25)/D25</f>
        <v>7.7987426999803544E-2</v>
      </c>
      <c r="F26" s="35">
        <f t="shared" si="12"/>
        <v>4.5684417181979714E-2</v>
      </c>
      <c r="G26" s="18">
        <f t="shared" si="12"/>
        <v>0.21782278220296353</v>
      </c>
      <c r="H26" s="18">
        <f t="shared" ref="H26" si="13">(H25-G25)/G25</f>
        <v>8.1095156991664544E-2</v>
      </c>
      <c r="I26" s="18">
        <f t="shared" ref="I26" si="14">(I25-H25)/H25</f>
        <v>7.7321278796932139E-2</v>
      </c>
      <c r="J26" s="18">
        <f t="shared" ref="J26" si="15">(J25-I25)/I25</f>
        <v>8.0151209802859585E-2</v>
      </c>
      <c r="K26" s="18">
        <f t="shared" ref="K26" si="16">(K25-J25)/J25</f>
        <v>5.4421201235190578E-2</v>
      </c>
      <c r="L26" s="18">
        <f t="shared" ref="L26" si="17">(L25-K25)/K25</f>
        <v>5.583722485278178E-2</v>
      </c>
    </row>
    <row r="27" spans="1:26" ht="15" thickBot="1" x14ac:dyDescent="0.2">
      <c r="A27" s="4" t="s">
        <v>36</v>
      </c>
      <c r="B27" s="70" t="s">
        <v>7</v>
      </c>
      <c r="C27" s="12">
        <f>C16-C25</f>
        <v>34014</v>
      </c>
      <c r="D27" s="12">
        <f>D16-D25</f>
        <v>-24238</v>
      </c>
      <c r="E27" s="12">
        <f>E16-E25</f>
        <v>9057</v>
      </c>
      <c r="F27" s="12">
        <f>F16-F25</f>
        <v>117699</v>
      </c>
      <c r="G27" s="12">
        <f>G16-G25</f>
        <v>162334</v>
      </c>
      <c r="H27" s="12">
        <f t="shared" ref="H27:L27" si="18">H16-H25</f>
        <v>241113.17785753985</v>
      </c>
      <c r="I27" s="12">
        <f t="shared" si="18"/>
        <v>283722.14686352864</v>
      </c>
      <c r="J27" s="12">
        <f t="shared" si="18"/>
        <v>321696.66844796925</v>
      </c>
      <c r="K27" s="12">
        <f t="shared" si="18"/>
        <v>345233.2478231095</v>
      </c>
      <c r="L27" s="12">
        <f t="shared" si="18"/>
        <v>370759.57836637821</v>
      </c>
      <c r="N27" s="1"/>
      <c r="O27" s="2"/>
      <c r="P27" s="105"/>
      <c r="Q27" s="105"/>
      <c r="R27" s="2"/>
      <c r="S27" s="105"/>
      <c r="T27" s="105"/>
      <c r="U27" s="2"/>
      <c r="V27" s="105"/>
    </row>
    <row r="28" spans="1:26" ht="15" thickTop="1" x14ac:dyDescent="0.15">
      <c r="B28" s="71" t="s">
        <v>8</v>
      </c>
      <c r="C28" s="35">
        <f>C27/C8</f>
        <v>4.6367763130989545E-2</v>
      </c>
      <c r="D28" s="35">
        <f t="shared" ref="D28:L28" si="19">D27/D8</f>
        <v>-3.203728474825393E-2</v>
      </c>
      <c r="E28" s="35">
        <f t="shared" si="19"/>
        <v>1.0510033095522125E-2</v>
      </c>
      <c r="F28" s="35">
        <f t="shared" si="19"/>
        <v>0.11774762977109546</v>
      </c>
      <c r="G28" s="35">
        <f t="shared" si="19"/>
        <v>0.13530381555192894</v>
      </c>
      <c r="H28" s="35">
        <f t="shared" si="19"/>
        <v>0.18002074462279574</v>
      </c>
      <c r="I28" s="35">
        <f t="shared" si="19"/>
        <v>0.19523681475077223</v>
      </c>
      <c r="J28" s="35">
        <f t="shared" si="19"/>
        <v>0.20494177018378235</v>
      </c>
      <c r="K28" s="35">
        <f t="shared" si="19"/>
        <v>0.20858467837373212</v>
      </c>
      <c r="L28" s="35">
        <f t="shared" si="19"/>
        <v>0.21216082729075503</v>
      </c>
      <c r="N28" s="1"/>
      <c r="O28" s="2"/>
      <c r="P28" s="105"/>
      <c r="Q28" s="105"/>
      <c r="R28" s="1"/>
      <c r="S28" s="105"/>
      <c r="T28" s="105"/>
      <c r="U28" s="1"/>
      <c r="V28" s="105"/>
    </row>
    <row r="29" spans="1:26" x14ac:dyDescent="0.15">
      <c r="B29" s="70"/>
      <c r="C29" s="11"/>
      <c r="D29" s="11"/>
      <c r="E29" s="14"/>
      <c r="F29" s="14"/>
      <c r="G29" s="11"/>
      <c r="H29" s="11"/>
      <c r="I29" s="11"/>
      <c r="J29" s="11"/>
      <c r="K29" s="11"/>
      <c r="L29" s="11"/>
      <c r="N29" s="1"/>
      <c r="O29" s="2"/>
      <c r="P29" s="105"/>
      <c r="Q29" s="105"/>
      <c r="R29" s="2"/>
      <c r="S29" s="105"/>
      <c r="T29" s="105"/>
      <c r="U29" s="1"/>
      <c r="V29" s="105"/>
    </row>
    <row r="30" spans="1:26" x14ac:dyDescent="0.15">
      <c r="B30" s="23" t="s">
        <v>9</v>
      </c>
      <c r="C30" s="11"/>
      <c r="D30" s="11"/>
      <c r="E30" s="23"/>
      <c r="F30" s="23"/>
      <c r="G30" s="11"/>
      <c r="H30" s="11"/>
      <c r="I30" s="11"/>
      <c r="J30" s="11"/>
      <c r="K30" s="11"/>
      <c r="L30" s="11"/>
      <c r="N30" s="1"/>
      <c r="O30" s="1"/>
      <c r="P30" s="2"/>
      <c r="Q30" s="105"/>
      <c r="R30" s="105"/>
      <c r="S30" s="1"/>
      <c r="T30" s="1"/>
      <c r="U30" s="105"/>
      <c r="V30" s="105"/>
      <c r="W30" s="1"/>
      <c r="X30" s="1"/>
      <c r="Y30" s="105"/>
    </row>
    <row r="31" spans="1:26" x14ac:dyDescent="0.15">
      <c r="B31" s="23" t="s">
        <v>10</v>
      </c>
      <c r="C31" s="99">
        <v>-34881</v>
      </c>
      <c r="D31" s="99">
        <v>-36572</v>
      </c>
      <c r="E31" s="99">
        <v>-48424</v>
      </c>
      <c r="F31" s="99">
        <v>-55455</v>
      </c>
      <c r="G31" s="99">
        <v>-60634</v>
      </c>
      <c r="H31" s="114">
        <f>'Expense Build'!AA18</f>
        <v>-57102.600993449887</v>
      </c>
      <c r="I31" s="114">
        <f>'Expense Build'!AB18</f>
        <v>-60516.647783552369</v>
      </c>
      <c r="J31" s="114">
        <f>'Expense Build'!AC18</f>
        <v>-63811.541652470456</v>
      </c>
      <c r="K31" s="114">
        <f>'Expense Build'!AD18</f>
        <v>-65643.996733989377</v>
      </c>
      <c r="L31" s="114">
        <f>'Expense Build'!AE18</f>
        <v>-67577.54290581138</v>
      </c>
      <c r="N31" s="1"/>
      <c r="O31" s="105"/>
      <c r="P31" s="105"/>
      <c r="Q31" s="105"/>
      <c r="R31" s="105"/>
      <c r="S31" s="105"/>
    </row>
    <row r="32" spans="1:26" x14ac:dyDescent="0.15">
      <c r="B32" s="23" t="s">
        <v>30</v>
      </c>
      <c r="C32" s="99">
        <v>5007</v>
      </c>
      <c r="D32" s="99">
        <v>-5931</v>
      </c>
      <c r="E32" s="99">
        <v>1271</v>
      </c>
      <c r="F32" s="99">
        <v>12796</v>
      </c>
      <c r="G32" s="99">
        <v>14334</v>
      </c>
      <c r="H32" s="114">
        <f>'Expense Build'!AA41*'annual IS'!H8</f>
        <v>5627.4460702054721</v>
      </c>
      <c r="I32" s="114">
        <f>'Expense Build'!AB41*'annual IS'!I8</f>
        <v>6105.8266787883167</v>
      </c>
      <c r="J32" s="114">
        <f>'Expense Build'!AC41*'annual IS'!J8</f>
        <v>6595.2160739397768</v>
      </c>
      <c r="K32" s="114">
        <f>'Expense Build'!AD41*'annual IS'!K8</f>
        <v>6954.1356550892169</v>
      </c>
      <c r="L32" s="114">
        <f>'Expense Build'!AE41*'annual IS'!L8</f>
        <v>7342.4352913191806</v>
      </c>
      <c r="N32" s="1"/>
      <c r="O32" s="1"/>
      <c r="P32" s="1"/>
      <c r="Q32" s="105"/>
      <c r="R32" s="105"/>
      <c r="S32" s="1"/>
      <c r="T32" s="1"/>
      <c r="U32" s="105"/>
      <c r="V32" s="105"/>
      <c r="W32" s="1"/>
      <c r="X32" s="1"/>
      <c r="Y32" s="105"/>
      <c r="Z32" s="1"/>
    </row>
    <row r="33" spans="1:26" x14ac:dyDescent="0.15">
      <c r="B33" s="23" t="s">
        <v>31</v>
      </c>
      <c r="C33" s="102">
        <f>SUM(C31:C32)</f>
        <v>-29874</v>
      </c>
      <c r="D33" s="102">
        <f t="shared" ref="D33:L33" si="20">SUM(D31:D32)</f>
        <v>-42503</v>
      </c>
      <c r="E33" s="102">
        <f t="shared" si="20"/>
        <v>-47153</v>
      </c>
      <c r="F33" s="102">
        <f t="shared" si="20"/>
        <v>-42659</v>
      </c>
      <c r="G33" s="102">
        <f t="shared" si="20"/>
        <v>-46300</v>
      </c>
      <c r="H33" s="102">
        <f t="shared" si="20"/>
        <v>-51475.154923244416</v>
      </c>
      <c r="I33" s="102">
        <f t="shared" si="20"/>
        <v>-54410.821104764051</v>
      </c>
      <c r="J33" s="102">
        <f t="shared" si="20"/>
        <v>-57216.325578530683</v>
      </c>
      <c r="K33" s="102">
        <f t="shared" si="20"/>
        <v>-58689.861078900161</v>
      </c>
      <c r="L33" s="102">
        <f t="shared" si="20"/>
        <v>-60235.107614492197</v>
      </c>
      <c r="N33" s="1"/>
      <c r="O33" s="1"/>
      <c r="P33" s="1"/>
      <c r="Q33" s="105"/>
      <c r="R33" s="105"/>
      <c r="S33" s="1"/>
      <c r="T33" s="1"/>
      <c r="U33" s="105"/>
      <c r="V33" s="105"/>
      <c r="W33" s="1"/>
      <c r="X33" s="1"/>
      <c r="Y33" s="105"/>
    </row>
    <row r="34" spans="1:26" ht="15" thickBot="1" x14ac:dyDescent="0.2">
      <c r="A34" s="4" t="s">
        <v>36</v>
      </c>
      <c r="B34" s="70" t="s">
        <v>11</v>
      </c>
      <c r="C34" s="12">
        <f>C27+C33</f>
        <v>4140</v>
      </c>
      <c r="D34" s="12">
        <f t="shared" ref="D34:L34" si="21">D27+D33</f>
        <v>-66741</v>
      </c>
      <c r="E34" s="12">
        <f t="shared" si="21"/>
        <v>-38096</v>
      </c>
      <c r="F34" s="12">
        <f t="shared" si="21"/>
        <v>75040</v>
      </c>
      <c r="G34" s="12">
        <f t="shared" si="21"/>
        <v>116034</v>
      </c>
      <c r="H34" s="12">
        <f t="shared" si="21"/>
        <v>189638.02293429544</v>
      </c>
      <c r="I34" s="12">
        <f t="shared" si="21"/>
        <v>229311.32575876458</v>
      </c>
      <c r="J34" s="12">
        <f t="shared" si="21"/>
        <v>264480.34286943858</v>
      </c>
      <c r="K34" s="12">
        <f t="shared" si="21"/>
        <v>286543.38674420933</v>
      </c>
      <c r="L34" s="12">
        <f t="shared" si="21"/>
        <v>310524.47075188602</v>
      </c>
      <c r="N34" s="1"/>
      <c r="O34" s="105"/>
      <c r="P34" s="105"/>
      <c r="Q34" s="105"/>
      <c r="R34" s="105"/>
      <c r="S34" s="105"/>
      <c r="Z34" s="1"/>
    </row>
    <row r="35" spans="1:26" ht="15" thickTop="1" x14ac:dyDescent="0.15">
      <c r="B35" s="23" t="s">
        <v>32</v>
      </c>
      <c r="C35" s="99">
        <v>-4694</v>
      </c>
      <c r="D35" s="99">
        <v>-22452</v>
      </c>
      <c r="E35" s="99">
        <v>-11953</v>
      </c>
      <c r="F35" s="99">
        <v>19328</v>
      </c>
      <c r="G35" s="99">
        <v>19331</v>
      </c>
      <c r="H35" s="114">
        <f>'Expense Build'!AA39*'annual IS'!H34</f>
        <v>45968.256759273216</v>
      </c>
      <c r="I35" s="114">
        <f>'Expense Build'!AB39*'annual IS'!I34</f>
        <v>57006.795583628875</v>
      </c>
      <c r="J35" s="114">
        <f>'Expense Build'!AC39*'annual IS'!J34</f>
        <v>65591.125031620773</v>
      </c>
      <c r="K35" s="114">
        <f>'Expense Build'!AD39*'annual IS'!K34</f>
        <v>71635.846686052333</v>
      </c>
      <c r="L35" s="114">
        <f>'Expense Build'!AE39*'annual IS'!L34</f>
        <v>77631.117687971506</v>
      </c>
      <c r="N35" s="1"/>
      <c r="O35" s="1"/>
      <c r="P35" s="105"/>
      <c r="Q35" s="105"/>
      <c r="R35" s="1"/>
      <c r="S35" s="105"/>
      <c r="T35" s="105"/>
      <c r="U35" s="1"/>
      <c r="V35" s="105"/>
      <c r="Z35" s="1"/>
    </row>
    <row r="36" spans="1:26" x14ac:dyDescent="0.15">
      <c r="B36" s="23" t="s">
        <v>209</v>
      </c>
      <c r="C36" s="18">
        <f>C35/C34</f>
        <v>-1.133816425120773</v>
      </c>
      <c r="D36" s="18">
        <f t="shared" ref="D36:G36" si="22">D35/D34</f>
        <v>0.3364049085269924</v>
      </c>
      <c r="E36" s="18">
        <f t="shared" si="22"/>
        <v>0.31375997480050399</v>
      </c>
      <c r="F36" s="18">
        <f t="shared" si="22"/>
        <v>0.25756929637526654</v>
      </c>
      <c r="G36" s="18">
        <f t="shared" si="22"/>
        <v>0.16659772135753315</v>
      </c>
      <c r="H36" s="244">
        <v>0.2424</v>
      </c>
      <c r="I36" s="244">
        <v>0.24859999999999999</v>
      </c>
      <c r="J36" s="244">
        <v>0.248</v>
      </c>
      <c r="K36" s="244">
        <v>0.25</v>
      </c>
      <c r="L36" s="244">
        <v>0.25</v>
      </c>
      <c r="N36" s="1"/>
      <c r="O36" s="1"/>
      <c r="P36" s="105"/>
      <c r="Q36" s="105"/>
      <c r="R36" s="1"/>
      <c r="S36" s="105"/>
      <c r="T36" s="105"/>
      <c r="U36" s="1"/>
      <c r="V36" s="105"/>
      <c r="Z36" s="1"/>
    </row>
    <row r="37" spans="1:26" x14ac:dyDescent="0.15">
      <c r="B37" s="23"/>
      <c r="C37" s="11"/>
      <c r="D37" s="11"/>
      <c r="E37" s="11"/>
      <c r="F37" s="99"/>
      <c r="G37" s="11"/>
      <c r="H37" s="11"/>
      <c r="I37" s="11"/>
      <c r="J37" s="11"/>
      <c r="K37" s="11"/>
      <c r="L37" s="11"/>
      <c r="N37" s="1"/>
      <c r="O37" s="1"/>
      <c r="P37" s="105"/>
      <c r="Q37" s="105"/>
      <c r="R37" s="1"/>
      <c r="S37" s="105"/>
      <c r="T37" s="105"/>
      <c r="U37" s="1"/>
      <c r="V37" s="105"/>
    </row>
    <row r="38" spans="1:26" ht="15" thickBot="1" x14ac:dyDescent="0.2">
      <c r="A38" s="4" t="s">
        <v>36</v>
      </c>
      <c r="B38" s="70" t="s">
        <v>33</v>
      </c>
      <c r="C38" s="12">
        <f>C34-C35</f>
        <v>8834</v>
      </c>
      <c r="D38" s="12">
        <f t="shared" ref="D38:L38" si="23">D34-D35</f>
        <v>-44289</v>
      </c>
      <c r="E38" s="12">
        <f t="shared" si="23"/>
        <v>-26143</v>
      </c>
      <c r="F38" s="12">
        <f t="shared" si="23"/>
        <v>55712</v>
      </c>
      <c r="G38" s="12">
        <f t="shared" si="23"/>
        <v>96703</v>
      </c>
      <c r="H38" s="12">
        <f t="shared" si="23"/>
        <v>143669.76617502223</v>
      </c>
      <c r="I38" s="12">
        <f t="shared" si="23"/>
        <v>172304.5301751357</v>
      </c>
      <c r="J38" s="12">
        <f t="shared" si="23"/>
        <v>198889.21783781779</v>
      </c>
      <c r="K38" s="12">
        <f t="shared" si="23"/>
        <v>214907.540058157</v>
      </c>
      <c r="L38" s="12">
        <f t="shared" si="23"/>
        <v>232893.35306391452</v>
      </c>
      <c r="O38" s="1"/>
      <c r="P38" s="1"/>
      <c r="Q38" s="1"/>
      <c r="R38" s="1"/>
      <c r="S38" s="1"/>
      <c r="T38" s="1"/>
      <c r="U38" s="1"/>
      <c r="V38" s="1"/>
      <c r="W38" s="1"/>
    </row>
    <row r="39" spans="1:26" ht="15" thickTop="1" x14ac:dyDescent="0.15">
      <c r="B39" s="71" t="s">
        <v>12</v>
      </c>
      <c r="C39" s="35">
        <f>C38/C8</f>
        <v>1.2042477200539825E-2</v>
      </c>
      <c r="D39" s="35">
        <f t="shared" ref="D39:L39" si="24">D38/D8</f>
        <v>-5.8540279899967747E-2</v>
      </c>
      <c r="E39" s="35">
        <f t="shared" si="24"/>
        <v>-3.0337175137047024E-2</v>
      </c>
      <c r="F39" s="35">
        <f t="shared" si="24"/>
        <v>5.5735018562666383E-2</v>
      </c>
      <c r="G39" s="35">
        <f t="shared" si="24"/>
        <v>8.0601013190817611E-2</v>
      </c>
      <c r="H39" s="35">
        <f t="shared" si="24"/>
        <v>0.10726721167389597</v>
      </c>
      <c r="I39" s="35">
        <f t="shared" si="24"/>
        <v>0.11856736603189058</v>
      </c>
      <c r="J39" s="35">
        <f t="shared" si="24"/>
        <v>0.12670541031960625</v>
      </c>
      <c r="K39" s="35">
        <f t="shared" si="24"/>
        <v>0.1298438676048049</v>
      </c>
      <c r="L39" s="35">
        <f t="shared" si="24"/>
        <v>0.13326923790956266</v>
      </c>
      <c r="O39" s="1"/>
      <c r="P39" s="1"/>
      <c r="Q39" s="1"/>
      <c r="R39" s="1"/>
      <c r="S39" s="1"/>
      <c r="T39" s="1"/>
      <c r="U39" s="1"/>
      <c r="V39" s="1"/>
      <c r="W39" s="1"/>
    </row>
    <row r="40" spans="1:26" x14ac:dyDescent="0.15">
      <c r="B40" s="23"/>
      <c r="C40" s="11"/>
      <c r="D40" s="11"/>
      <c r="E40" s="23"/>
      <c r="F40" s="23"/>
      <c r="G40" s="11"/>
    </row>
    <row r="41" spans="1:26" x14ac:dyDescent="0.15">
      <c r="B41" s="70" t="s">
        <v>37</v>
      </c>
      <c r="C41" s="11"/>
      <c r="D41" s="11"/>
      <c r="E41" s="11"/>
      <c r="F41" s="23"/>
      <c r="G41" s="11"/>
    </row>
    <row r="42" spans="1:26" x14ac:dyDescent="0.15">
      <c r="B42" s="23" t="s">
        <v>13</v>
      </c>
      <c r="C42" s="106">
        <v>0.12</v>
      </c>
      <c r="D42" s="106">
        <v>-0.53</v>
      </c>
      <c r="E42" s="106">
        <v>-0.31</v>
      </c>
      <c r="F42" s="106">
        <v>0.65</v>
      </c>
      <c r="G42" s="106">
        <v>1.1100000000000001</v>
      </c>
      <c r="H42" s="180">
        <f>H38/H46</f>
        <v>1.6538478896629702</v>
      </c>
      <c r="I42" s="180">
        <f t="shared" ref="I42:L42" si="25">I38/I46</f>
        <v>1.9834756552910753</v>
      </c>
      <c r="J42" s="180">
        <f t="shared" si="25"/>
        <v>2.2895040616762725</v>
      </c>
      <c r="K42" s="180">
        <f t="shared" si="25"/>
        <v>2.4738982394170255</v>
      </c>
      <c r="L42" s="180">
        <f t="shared" si="25"/>
        <v>2.6809410966261598</v>
      </c>
    </row>
    <row r="43" spans="1:26" x14ac:dyDescent="0.15">
      <c r="B43" s="23" t="s">
        <v>14</v>
      </c>
      <c r="C43" s="106">
        <v>0.12</v>
      </c>
      <c r="D43" s="106">
        <v>-0.53</v>
      </c>
      <c r="E43" s="106">
        <v>-0.31</v>
      </c>
      <c r="F43" s="106">
        <v>0.64</v>
      </c>
      <c r="G43" s="106">
        <v>1.0900000000000001</v>
      </c>
      <c r="H43" s="180">
        <f>H38/H47</f>
        <v>1.6173927835257151</v>
      </c>
      <c r="I43" s="180">
        <f t="shared" ref="I43:L43" si="26">I38/I47</f>
        <v>1.9397546964373362</v>
      </c>
      <c r="J43" s="180">
        <f t="shared" si="26"/>
        <v>2.2390374413227563</v>
      </c>
      <c r="K43" s="180">
        <f t="shared" si="26"/>
        <v>2.4193670921123633</v>
      </c>
      <c r="L43" s="180">
        <f t="shared" si="26"/>
        <v>2.6218461866068639</v>
      </c>
    </row>
    <row r="44" spans="1:26" x14ac:dyDescent="0.15">
      <c r="B44" s="23"/>
      <c r="C44" s="106"/>
      <c r="D44" s="103"/>
      <c r="E44" s="103"/>
      <c r="F44" s="103"/>
      <c r="G44" s="106"/>
    </row>
    <row r="45" spans="1:26" x14ac:dyDescent="0.15">
      <c r="B45" s="23" t="s">
        <v>15</v>
      </c>
      <c r="C45" s="99"/>
      <c r="D45" s="99"/>
      <c r="E45" s="99"/>
      <c r="F45" s="99"/>
      <c r="G45" s="99"/>
    </row>
    <row r="46" spans="1:26" x14ac:dyDescent="0.15">
      <c r="B46" s="23" t="s">
        <v>13</v>
      </c>
      <c r="C46" s="106">
        <v>74235</v>
      </c>
      <c r="D46" s="106">
        <v>83133</v>
      </c>
      <c r="E46" s="106">
        <v>84442</v>
      </c>
      <c r="F46" s="99">
        <v>85564</v>
      </c>
      <c r="G46" s="106">
        <v>86870</v>
      </c>
      <c r="H46" s="110">
        <f>G46</f>
        <v>86870</v>
      </c>
      <c r="I46" s="110">
        <f t="shared" ref="I46:L46" si="27">H46</f>
        <v>86870</v>
      </c>
      <c r="J46" s="110">
        <f t="shared" si="27"/>
        <v>86870</v>
      </c>
      <c r="K46" s="110">
        <f t="shared" si="27"/>
        <v>86870</v>
      </c>
      <c r="L46" s="110">
        <f t="shared" si="27"/>
        <v>86870</v>
      </c>
    </row>
    <row r="47" spans="1:26" x14ac:dyDescent="0.15">
      <c r="B47" s="23" t="s">
        <v>14</v>
      </c>
      <c r="C47" s="106">
        <v>75679</v>
      </c>
      <c r="D47" s="106">
        <v>83133</v>
      </c>
      <c r="E47" s="106">
        <v>84442</v>
      </c>
      <c r="F47" s="99">
        <v>86957</v>
      </c>
      <c r="G47" s="106">
        <v>88828</v>
      </c>
      <c r="H47" s="110">
        <f>G47</f>
        <v>88828</v>
      </c>
      <c r="I47" s="110">
        <f t="shared" ref="I47:L47" si="28">H47</f>
        <v>88828</v>
      </c>
      <c r="J47" s="110">
        <f t="shared" si="28"/>
        <v>88828</v>
      </c>
      <c r="K47" s="110">
        <f t="shared" si="28"/>
        <v>88828</v>
      </c>
      <c r="L47" s="110">
        <f t="shared" si="28"/>
        <v>88828</v>
      </c>
    </row>
  </sheetData>
  <mergeCells count="2">
    <mergeCell ref="H2:L2"/>
    <mergeCell ref="C2:G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A35B-8EF1-234B-8DDE-8B73698D8D46}">
  <sheetPr codeName="Sheet4"/>
  <dimension ref="A1:AL46"/>
  <sheetViews>
    <sheetView showGridLines="0" workbookViewId="0">
      <pane xSplit="2" ySplit="2" topLeftCell="C8" activePane="bottomRight" state="frozen"/>
      <selection activeCell="H5" sqref="H1:H1048576"/>
      <selection pane="topRight" activeCell="H5" sqref="H1:H1048576"/>
      <selection pane="bottomLeft" activeCell="H5" sqref="H1:H1048576"/>
      <selection pane="bottomRight" activeCell="AI9" sqref="AI9"/>
    </sheetView>
  </sheetViews>
  <sheetFormatPr baseColWidth="10" defaultColWidth="11.5" defaultRowHeight="14" x14ac:dyDescent="0.15"/>
  <cols>
    <col min="1" max="1" width="3" style="4" customWidth="1"/>
    <col min="2" max="2" width="40.83203125" style="4" bestFit="1" customWidth="1"/>
    <col min="3" max="3" width="10.5" style="4" customWidth="1"/>
    <col min="4" max="6" width="0" style="4" hidden="1" customWidth="1"/>
    <col min="7" max="7" width="10.6640625" style="4" hidden="1" customWidth="1"/>
    <col min="8" max="8" width="11.6640625" style="4" bestFit="1" customWidth="1"/>
    <col min="9" max="10" width="0" style="4" hidden="1" customWidth="1"/>
    <col min="11" max="11" width="11.1640625" style="4" hidden="1" customWidth="1"/>
    <col min="12" max="12" width="0" style="4" hidden="1" customWidth="1"/>
    <col min="13" max="13" width="11.6640625" style="4" bestFit="1" customWidth="1"/>
    <col min="14" max="17" width="0" style="4" hidden="1" customWidth="1"/>
    <col min="18" max="18" width="11.6640625" style="4" bestFit="1" customWidth="1"/>
    <col min="19" max="22" width="0" style="4" hidden="1" customWidth="1"/>
    <col min="23" max="23" width="10.5" style="4" bestFit="1" customWidth="1"/>
    <col min="24" max="25" width="0" style="4" hidden="1" customWidth="1"/>
    <col min="26" max="26" width="2.1640625" style="4" hidden="1" customWidth="1"/>
    <col min="27" max="27" width="11.1640625" style="4" bestFit="1" customWidth="1"/>
    <col min="28" max="28" width="10.5" style="4" bestFit="1" customWidth="1"/>
    <col min="29" max="31" width="11.1640625" style="4" bestFit="1" customWidth="1"/>
    <col min="32" max="16384" width="11.5" style="4"/>
  </cols>
  <sheetData>
    <row r="1" spans="1:38" ht="16" customHeight="1" x14ac:dyDescent="0.15">
      <c r="A1" s="105"/>
      <c r="B1" s="112" t="s">
        <v>180</v>
      </c>
      <c r="C1" s="319" t="s">
        <v>0</v>
      </c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6"/>
      <c r="Y1" s="6"/>
      <c r="Z1" s="6"/>
      <c r="AA1" s="319" t="s">
        <v>1</v>
      </c>
      <c r="AB1" s="319"/>
      <c r="AC1" s="319"/>
      <c r="AD1" s="319"/>
      <c r="AE1" s="319"/>
    </row>
    <row r="2" spans="1:38" x14ac:dyDescent="0.15">
      <c r="A2" s="4" t="s">
        <v>36</v>
      </c>
      <c r="B2" s="113"/>
      <c r="C2" s="112" t="s">
        <v>127</v>
      </c>
      <c r="D2" s="7" t="s">
        <v>49</v>
      </c>
      <c r="E2" s="7" t="s">
        <v>50</v>
      </c>
      <c r="F2" s="7" t="s">
        <v>51</v>
      </c>
      <c r="G2" s="7" t="s">
        <v>52</v>
      </c>
      <c r="H2" s="7" t="s">
        <v>126</v>
      </c>
      <c r="I2" s="7" t="s">
        <v>41</v>
      </c>
      <c r="J2" s="7" t="s">
        <v>43</v>
      </c>
      <c r="K2" s="7" t="s">
        <v>42</v>
      </c>
      <c r="L2" s="7" t="s">
        <v>44</v>
      </c>
      <c r="M2" s="7" t="s">
        <v>118</v>
      </c>
      <c r="N2" s="8" t="s">
        <v>45</v>
      </c>
      <c r="O2" s="8" t="s">
        <v>46</v>
      </c>
      <c r="P2" s="8" t="s">
        <v>47</v>
      </c>
      <c r="Q2" s="8" t="s">
        <v>48</v>
      </c>
      <c r="R2" s="8" t="s">
        <v>119</v>
      </c>
      <c r="S2" s="8" t="s">
        <v>53</v>
      </c>
      <c r="T2" s="8" t="s">
        <v>54</v>
      </c>
      <c r="U2" s="8" t="s">
        <v>55</v>
      </c>
      <c r="V2" s="8" t="s">
        <v>56</v>
      </c>
      <c r="W2" s="8" t="s">
        <v>120</v>
      </c>
      <c r="X2" s="9" t="s">
        <v>16</v>
      </c>
      <c r="Y2" s="9" t="s">
        <v>40</v>
      </c>
      <c r="Z2" s="9" t="s">
        <v>146</v>
      </c>
      <c r="AA2" s="8">
        <v>2025</v>
      </c>
      <c r="AB2" s="8">
        <f>AA2+1</f>
        <v>2026</v>
      </c>
      <c r="AC2" s="8">
        <f t="shared" ref="AC2:AE2" si="0">AB2+1</f>
        <v>2027</v>
      </c>
      <c r="AD2" s="8">
        <f t="shared" si="0"/>
        <v>2028</v>
      </c>
      <c r="AE2" s="8">
        <f t="shared" si="0"/>
        <v>2029</v>
      </c>
    </row>
    <row r="3" spans="1:38" x14ac:dyDescent="0.15">
      <c r="B3" s="19" t="s">
        <v>80</v>
      </c>
      <c r="C3" s="19"/>
      <c r="D3" s="105"/>
      <c r="E3" s="105"/>
      <c r="F3" s="105"/>
      <c r="U3" s="22"/>
      <c r="V3" s="105"/>
      <c r="W3" s="105"/>
      <c r="X3" s="105"/>
      <c r="Y3" s="1"/>
      <c r="Z3" s="1"/>
      <c r="AA3" s="105"/>
      <c r="AB3" s="105"/>
      <c r="AC3" s="22"/>
      <c r="AD3" s="1"/>
      <c r="AE3" s="1"/>
      <c r="AF3" s="1"/>
    </row>
    <row r="4" spans="1:38" x14ac:dyDescent="0.15">
      <c r="B4" s="19" t="s">
        <v>81</v>
      </c>
      <c r="C4" s="19"/>
      <c r="D4" s="105"/>
      <c r="E4" s="105"/>
      <c r="F4" s="105"/>
      <c r="U4" s="1"/>
      <c r="V4" s="105"/>
      <c r="W4" s="105"/>
      <c r="X4" s="105"/>
      <c r="Y4" s="1"/>
      <c r="Z4" s="1"/>
      <c r="AA4" s="1"/>
      <c r="AB4" s="1"/>
      <c r="AC4" s="1"/>
      <c r="AD4" s="1"/>
      <c r="AE4" s="1"/>
      <c r="AF4" s="1"/>
    </row>
    <row r="5" spans="1:38" x14ac:dyDescent="0.15">
      <c r="B5" s="23" t="s">
        <v>82</v>
      </c>
      <c r="C5" s="99">
        <v>328803</v>
      </c>
      <c r="D5" s="99">
        <v>736773</v>
      </c>
      <c r="E5" s="99">
        <v>753754</v>
      </c>
      <c r="F5" s="99">
        <v>649129</v>
      </c>
      <c r="G5" s="99">
        <v>225414</v>
      </c>
      <c r="H5" s="99">
        <f>G5</f>
        <v>225414</v>
      </c>
      <c r="I5" s="99">
        <v>161247</v>
      </c>
      <c r="J5" s="99">
        <f>(176886*(1))*1</f>
        <v>176886</v>
      </c>
      <c r="K5" s="99">
        <v>210197</v>
      </c>
      <c r="L5" s="99">
        <v>254266</v>
      </c>
      <c r="M5" s="99">
        <f>L5</f>
        <v>254266</v>
      </c>
      <c r="N5" s="99">
        <v>225642</v>
      </c>
      <c r="O5" s="99">
        <v>290345</v>
      </c>
      <c r="P5" s="99">
        <v>334061</v>
      </c>
      <c r="Q5" s="99">
        <v>403979</v>
      </c>
      <c r="R5" s="99">
        <f>Q5</f>
        <v>403979</v>
      </c>
      <c r="S5" s="99">
        <v>251229</v>
      </c>
      <c r="T5" s="99">
        <v>326893</v>
      </c>
      <c r="U5" s="99">
        <v>322163</v>
      </c>
      <c r="V5" s="99">
        <v>295948</v>
      </c>
      <c r="W5" s="99">
        <f>V5</f>
        <v>295948</v>
      </c>
      <c r="X5" s="99">
        <v>287894</v>
      </c>
      <c r="Y5" s="99">
        <v>304461</v>
      </c>
      <c r="Z5" s="99">
        <v>309259</v>
      </c>
      <c r="AA5" s="246">
        <f>'Cash Flow Statement'!C35+W5</f>
        <v>751420.15360983566</v>
      </c>
      <c r="AB5" s="246">
        <f>'Cash Flow Statement'!D35+AA5</f>
        <v>1208797.9010791958</v>
      </c>
      <c r="AC5" s="246">
        <f>'Cash Flow Statement'!E35+AB5</f>
        <v>1679022.8571877936</v>
      </c>
      <c r="AD5" s="246">
        <f>'Cash Flow Statement'!F35+AC5</f>
        <v>2127396.4273912865</v>
      </c>
      <c r="AE5" s="246">
        <f>'Cash Flow Statement'!G35+AD5</f>
        <v>2598043.8938988219</v>
      </c>
      <c r="AF5" s="1"/>
      <c r="AG5" s="23"/>
      <c r="AH5" s="23"/>
      <c r="AJ5" s="1"/>
      <c r="AK5" s="1"/>
      <c r="AL5" s="1"/>
    </row>
    <row r="6" spans="1:38" x14ac:dyDescent="0.15">
      <c r="B6" s="23" t="s">
        <v>110</v>
      </c>
      <c r="C6" s="99">
        <v>72767</v>
      </c>
      <c r="D6" s="99">
        <v>74468</v>
      </c>
      <c r="E6" s="99">
        <v>74223</v>
      </c>
      <c r="F6" s="99">
        <v>84083</v>
      </c>
      <c r="G6" s="99">
        <v>87428</v>
      </c>
      <c r="H6" s="99">
        <f t="shared" ref="H6:H38" si="1">G6</f>
        <v>87428</v>
      </c>
      <c r="I6" s="99">
        <v>86003</v>
      </c>
      <c r="J6" s="99">
        <f>(90426*(1))*1</f>
        <v>90426</v>
      </c>
      <c r="K6" s="99">
        <v>87716</v>
      </c>
      <c r="L6" s="99">
        <v>96835</v>
      </c>
      <c r="M6" s="99">
        <f t="shared" ref="M6:M38" si="2">L6</f>
        <v>96835</v>
      </c>
      <c r="N6" s="99">
        <v>98414</v>
      </c>
      <c r="O6" s="99">
        <v>92581</v>
      </c>
      <c r="P6" s="99">
        <v>96181</v>
      </c>
      <c r="Q6" s="99">
        <v>104893</v>
      </c>
      <c r="R6" s="99">
        <f t="shared" ref="R6:R38" si="3">Q6</f>
        <v>104893</v>
      </c>
      <c r="S6" s="99">
        <v>106218</v>
      </c>
      <c r="T6" s="99">
        <v>108454</v>
      </c>
      <c r="U6" s="99">
        <v>106712</v>
      </c>
      <c r="V6" s="99">
        <v>118006</v>
      </c>
      <c r="W6" s="99">
        <f t="shared" ref="W6:W38" si="4">V6</f>
        <v>118006</v>
      </c>
      <c r="X6" s="99">
        <v>116256</v>
      </c>
      <c r="Y6" s="99">
        <v>111164</v>
      </c>
      <c r="Z6" s="99">
        <v>111243</v>
      </c>
      <c r="AA6" s="246">
        <f>'Balance Sheet Build'!H5*'annual IS'!H8</f>
        <v>142084.97878304371</v>
      </c>
      <c r="AB6" s="246">
        <f>'Balance Sheet Build'!I5*'annual IS'!I8</f>
        <v>154163.40615004845</v>
      </c>
      <c r="AC6" s="246">
        <f>'Balance Sheet Build'!J5*'annual IS'!J8</f>
        <v>166519.78966030446</v>
      </c>
      <c r="AD6" s="246">
        <f>'Balance Sheet Build'!K5*'annual IS'!K8</f>
        <v>175581.9966430495</v>
      </c>
      <c r="AE6" s="246">
        <f>'Balance Sheet Build'!L5*'annual IS'!L8</f>
        <v>185386.00806970781</v>
      </c>
      <c r="AF6" s="1"/>
      <c r="AG6" s="23"/>
      <c r="AH6" s="23"/>
    </row>
    <row r="7" spans="1:38" x14ac:dyDescent="0.15">
      <c r="B7" s="23" t="s">
        <v>148</v>
      </c>
      <c r="C7" s="99">
        <v>58607</v>
      </c>
      <c r="D7" s="99">
        <v>53870</v>
      </c>
      <c r="E7" s="99">
        <v>32637</v>
      </c>
      <c r="F7" s="99">
        <v>30919</v>
      </c>
      <c r="G7" s="99">
        <v>38495</v>
      </c>
      <c r="H7" s="99">
        <f t="shared" si="1"/>
        <v>38495</v>
      </c>
      <c r="I7" s="99">
        <v>31673</v>
      </c>
      <c r="J7" s="99">
        <f>(41274*(1))*1</f>
        <v>41274</v>
      </c>
      <c r="K7" s="99">
        <v>34247</v>
      </c>
      <c r="L7" s="99">
        <v>31792</v>
      </c>
      <c r="M7" s="99">
        <f t="shared" si="2"/>
        <v>31792</v>
      </c>
      <c r="N7" s="99">
        <v>34353</v>
      </c>
      <c r="O7" s="99">
        <v>39631</v>
      </c>
      <c r="P7" s="99">
        <v>44166</v>
      </c>
      <c r="Q7" s="99">
        <v>48564</v>
      </c>
      <c r="R7" s="99">
        <f t="shared" si="3"/>
        <v>48564</v>
      </c>
      <c r="S7" s="99">
        <v>47455</v>
      </c>
      <c r="T7" s="99">
        <v>60280</v>
      </c>
      <c r="U7" s="99">
        <v>66371</v>
      </c>
      <c r="V7" s="99">
        <v>63795</v>
      </c>
      <c r="W7" s="99">
        <f t="shared" si="4"/>
        <v>63795</v>
      </c>
      <c r="X7" s="99">
        <v>68646</v>
      </c>
      <c r="Y7" s="99">
        <v>77207</v>
      </c>
      <c r="Z7" s="99">
        <v>78206</v>
      </c>
      <c r="AA7" s="246">
        <f>'Balance Sheet Build'!H7*'annual IS'!H8</f>
        <v>61900.47624409823</v>
      </c>
      <c r="AB7" s="246">
        <f>'Balance Sheet Build'!I7*'annual IS'!I8</f>
        <v>67162.54133149203</v>
      </c>
      <c r="AC7" s="246">
        <f>'Balance Sheet Build'!J7*'annual IS'!J8</f>
        <v>72545.70027264567</v>
      </c>
      <c r="AD7" s="246">
        <f>'Balance Sheet Build'!K7*'annual IS'!K8</f>
        <v>76493.724425931141</v>
      </c>
      <c r="AE7" s="246">
        <f>'Balance Sheet Build'!L7*'annual IS'!L8</f>
        <v>80764.921716528581</v>
      </c>
      <c r="AF7" s="1"/>
      <c r="AG7" s="23"/>
      <c r="AH7" s="23"/>
    </row>
    <row r="8" spans="1:38" x14ac:dyDescent="0.15">
      <c r="B8" s="23" t="s">
        <v>83</v>
      </c>
      <c r="C8" s="11">
        <f>SUM(C5:C7)</f>
        <v>460177</v>
      </c>
      <c r="D8" s="11">
        <f>SUM(D5:D7)</f>
        <v>865111</v>
      </c>
      <c r="E8" s="11">
        <f t="shared" ref="E8:Z8" si="5">SUM(E5:E7)</f>
        <v>860614</v>
      </c>
      <c r="F8" s="11">
        <f t="shared" si="5"/>
        <v>764131</v>
      </c>
      <c r="G8" s="11">
        <f t="shared" si="5"/>
        <v>351337</v>
      </c>
      <c r="H8" s="11">
        <f t="shared" si="1"/>
        <v>351337</v>
      </c>
      <c r="I8" s="11">
        <f t="shared" si="5"/>
        <v>278923</v>
      </c>
      <c r="J8" s="11">
        <f t="shared" si="5"/>
        <v>308586</v>
      </c>
      <c r="K8" s="11">
        <f t="shared" si="5"/>
        <v>332160</v>
      </c>
      <c r="L8" s="11">
        <f t="shared" si="5"/>
        <v>382893</v>
      </c>
      <c r="M8" s="11">
        <f t="shared" si="2"/>
        <v>382893</v>
      </c>
      <c r="N8" s="11">
        <f t="shared" si="5"/>
        <v>358409</v>
      </c>
      <c r="O8" s="11">
        <f t="shared" si="5"/>
        <v>422557</v>
      </c>
      <c r="P8" s="11">
        <f t="shared" si="5"/>
        <v>474408</v>
      </c>
      <c r="Q8" s="11">
        <f t="shared" si="5"/>
        <v>557436</v>
      </c>
      <c r="R8" s="11">
        <f t="shared" si="3"/>
        <v>557436</v>
      </c>
      <c r="S8" s="11">
        <f t="shared" si="5"/>
        <v>404902</v>
      </c>
      <c r="T8" s="11">
        <f t="shared" si="5"/>
        <v>495627</v>
      </c>
      <c r="U8" s="11">
        <f t="shared" si="5"/>
        <v>495246</v>
      </c>
      <c r="V8" s="11">
        <f t="shared" si="5"/>
        <v>477749</v>
      </c>
      <c r="W8" s="11">
        <f t="shared" si="4"/>
        <v>477749</v>
      </c>
      <c r="X8" s="100">
        <f t="shared" si="5"/>
        <v>472796</v>
      </c>
      <c r="Y8" s="100">
        <f t="shared" si="5"/>
        <v>492832</v>
      </c>
      <c r="Z8" s="100">
        <f t="shared" si="5"/>
        <v>498708</v>
      </c>
      <c r="AA8" s="179">
        <f>SUM(AA5:AA7)</f>
        <v>955405.60863697762</v>
      </c>
      <c r="AB8" s="179">
        <f t="shared" ref="AB8:AE8" si="6">SUM(AB5:AB7)</f>
        <v>1430123.8485607363</v>
      </c>
      <c r="AC8" s="179">
        <f t="shared" si="6"/>
        <v>1918088.3471207437</v>
      </c>
      <c r="AD8" s="179">
        <f t="shared" si="6"/>
        <v>2379472.1484602671</v>
      </c>
      <c r="AE8" s="179">
        <f t="shared" si="6"/>
        <v>2864194.8236850584</v>
      </c>
      <c r="AF8" s="1"/>
      <c r="AG8" s="23"/>
      <c r="AH8" s="23"/>
    </row>
    <row r="9" spans="1:38" x14ac:dyDescent="0.15">
      <c r="B9" s="23" t="s">
        <v>84</v>
      </c>
      <c r="C9" s="99">
        <v>29106</v>
      </c>
      <c r="D9" s="99">
        <v>27479</v>
      </c>
      <c r="E9" s="99">
        <v>27382</v>
      </c>
      <c r="F9" s="99">
        <v>24930</v>
      </c>
      <c r="G9" s="99">
        <v>23372</v>
      </c>
      <c r="H9" s="99">
        <f t="shared" si="1"/>
        <v>23372</v>
      </c>
      <c r="I9" s="99">
        <v>21003</v>
      </c>
      <c r="J9" s="99">
        <f>(18028*(1))*1</f>
        <v>18028</v>
      </c>
      <c r="K9" s="99">
        <v>15620</v>
      </c>
      <c r="L9" s="99">
        <v>12862</v>
      </c>
      <c r="M9" s="99">
        <f t="shared" si="2"/>
        <v>12862</v>
      </c>
      <c r="N9" s="99">
        <v>10532</v>
      </c>
      <c r="O9" s="99">
        <v>9145</v>
      </c>
      <c r="P9" s="99">
        <v>7660</v>
      </c>
      <c r="Q9" s="99">
        <v>6013</v>
      </c>
      <c r="R9" s="99">
        <f t="shared" si="3"/>
        <v>6013</v>
      </c>
      <c r="S9" s="99">
        <v>5083</v>
      </c>
      <c r="T9" s="99">
        <v>4592</v>
      </c>
      <c r="U9" s="99">
        <v>3890</v>
      </c>
      <c r="V9" s="99">
        <v>3239</v>
      </c>
      <c r="W9" s="99">
        <f t="shared" si="4"/>
        <v>3239</v>
      </c>
      <c r="X9" s="99">
        <v>3173</v>
      </c>
      <c r="Y9" s="99">
        <v>3088</v>
      </c>
      <c r="Z9" s="99">
        <v>3390</v>
      </c>
      <c r="AA9" s="246">
        <f>'Balance Sheet Build'!H17</f>
        <v>1434.7951178009616</v>
      </c>
      <c r="AB9" s="246">
        <f>'Balance Sheet Build'!I17</f>
        <v>567.13292538528731</v>
      </c>
      <c r="AC9" s="246">
        <f>'Balance Sheet Build'!J17</f>
        <v>807.19999148200122</v>
      </c>
      <c r="AD9" s="246">
        <f>'Balance Sheet Build'!K17</f>
        <v>2301.6738630299947</v>
      </c>
      <c r="AE9" s="246">
        <f>'Balance Sheet Build'!L17</f>
        <v>5190.2501716506404</v>
      </c>
      <c r="AF9" s="1"/>
      <c r="AG9" s="23"/>
      <c r="AH9" s="23"/>
    </row>
    <row r="10" spans="1:38" x14ac:dyDescent="0.15">
      <c r="B10" s="23" t="s">
        <v>85</v>
      </c>
      <c r="C10" s="99">
        <v>89508</v>
      </c>
      <c r="D10" s="99">
        <v>86139</v>
      </c>
      <c r="E10" s="99">
        <v>83768</v>
      </c>
      <c r="F10" s="99">
        <v>81150</v>
      </c>
      <c r="G10" s="99">
        <v>63613</v>
      </c>
      <c r="H10" s="99">
        <f t="shared" si="1"/>
        <v>63613</v>
      </c>
      <c r="I10" s="99">
        <v>62599</v>
      </c>
      <c r="J10" s="99">
        <f>(60588*(1))*1</f>
        <v>60588</v>
      </c>
      <c r="K10" s="99">
        <v>58536</v>
      </c>
      <c r="L10" s="99">
        <v>56461</v>
      </c>
      <c r="M10" s="99">
        <f t="shared" si="2"/>
        <v>56461</v>
      </c>
      <c r="N10" s="99">
        <v>56726</v>
      </c>
      <c r="O10" s="99">
        <v>51976</v>
      </c>
      <c r="P10" s="99">
        <v>50329</v>
      </c>
      <c r="Q10" s="99">
        <v>48380</v>
      </c>
      <c r="R10" s="99">
        <f t="shared" si="3"/>
        <v>48380</v>
      </c>
      <c r="S10" s="99">
        <v>48108</v>
      </c>
      <c r="T10" s="99">
        <v>46484</v>
      </c>
      <c r="U10" s="99">
        <v>44845</v>
      </c>
      <c r="V10" s="99">
        <v>43185</v>
      </c>
      <c r="W10" s="99">
        <f t="shared" si="4"/>
        <v>43185</v>
      </c>
      <c r="X10" s="99">
        <v>41446</v>
      </c>
      <c r="Y10" s="99">
        <v>39756</v>
      </c>
      <c r="Z10" s="99">
        <v>38045</v>
      </c>
      <c r="AA10" s="246">
        <f>'Balance Sheet Build'!H9*'annual IS'!H8</f>
        <v>44861.00781318223</v>
      </c>
      <c r="AB10" s="246">
        <f>'Balance Sheet Build'!I9*'annual IS'!I8</f>
        <v>45041.52235639032</v>
      </c>
      <c r="AC10" s="246">
        <f>'Balance Sheet Build'!J9*'annual IS'!J8</f>
        <v>44727.410088168537</v>
      </c>
      <c r="AD10" s="246">
        <f>'Balance Sheet Build'!K9*'annual IS'!K8</f>
        <v>43023.722582181355</v>
      </c>
      <c r="AE10" s="246">
        <f>'Balance Sheet Build'!L9*'annual IS'!L8</f>
        <v>41057.197309104929</v>
      </c>
      <c r="AF10" s="1"/>
      <c r="AG10" s="23"/>
      <c r="AH10" s="23"/>
    </row>
    <row r="11" spans="1:38" x14ac:dyDescent="0.15">
      <c r="B11" s="23" t="s">
        <v>86</v>
      </c>
      <c r="C11" s="99">
        <v>767003</v>
      </c>
      <c r="D11" s="99">
        <v>780794</v>
      </c>
      <c r="E11" s="99">
        <v>770329</v>
      </c>
      <c r="F11" s="99">
        <v>820946</v>
      </c>
      <c r="G11" s="99">
        <v>973137</v>
      </c>
      <c r="H11" s="99">
        <f t="shared" si="1"/>
        <v>973137</v>
      </c>
      <c r="I11" s="99">
        <v>1007864</v>
      </c>
      <c r="J11" s="99">
        <f>(991945*(1))*1</f>
        <v>991945</v>
      </c>
      <c r="K11" s="99">
        <v>964531</v>
      </c>
      <c r="L11" s="99">
        <v>936359</v>
      </c>
      <c r="M11" s="99">
        <f t="shared" si="2"/>
        <v>936359</v>
      </c>
      <c r="N11" s="99">
        <v>907703</v>
      </c>
      <c r="O11" s="99">
        <v>881937</v>
      </c>
      <c r="P11" s="99">
        <v>860514</v>
      </c>
      <c r="Q11" s="99">
        <v>835948</v>
      </c>
      <c r="R11" s="99">
        <f t="shared" si="3"/>
        <v>835948</v>
      </c>
      <c r="S11" s="99">
        <v>1071371</v>
      </c>
      <c r="T11" s="99">
        <v>1254210</v>
      </c>
      <c r="U11" s="99">
        <v>1228476</v>
      </c>
      <c r="V11" s="99">
        <v>1204658</v>
      </c>
      <c r="W11" s="99">
        <f t="shared" si="4"/>
        <v>1204658</v>
      </c>
      <c r="X11" s="99">
        <v>1179430</v>
      </c>
      <c r="Y11" s="99">
        <v>1152456</v>
      </c>
      <c r="Z11" s="99">
        <v>1124768</v>
      </c>
      <c r="AA11" s="246">
        <f>'Balance Sheet Build'!H22</f>
        <v>1058149</v>
      </c>
      <c r="AB11" s="246">
        <f>'Balance Sheet Build'!I22</f>
        <v>928548.46912275348</v>
      </c>
      <c r="AC11" s="246">
        <f>'Balance Sheet Build'!J22</f>
        <v>816904.46912275348</v>
      </c>
      <c r="AD11" s="246">
        <f>'Balance Sheet Build'!K22</f>
        <v>718749.46912275348</v>
      </c>
      <c r="AE11" s="246">
        <f>'Balance Sheet Build'!L22</f>
        <v>621619.46912275348</v>
      </c>
      <c r="AF11" s="1"/>
      <c r="AG11" s="23"/>
      <c r="AH11" s="23"/>
    </row>
    <row r="12" spans="1:38" x14ac:dyDescent="0.15">
      <c r="B12" s="23" t="s">
        <v>87</v>
      </c>
      <c r="C12" s="99">
        <v>1327193</v>
      </c>
      <c r="D12" s="99">
        <v>1363568</v>
      </c>
      <c r="E12" s="99">
        <v>1363568</v>
      </c>
      <c r="F12" s="99">
        <v>1363549</v>
      </c>
      <c r="G12" s="99">
        <v>1645836</v>
      </c>
      <c r="H12" s="99">
        <f t="shared" si="1"/>
        <v>1645836</v>
      </c>
      <c r="I12" s="99">
        <v>1645836</v>
      </c>
      <c r="J12" s="99">
        <f>(1645999*(1))*1</f>
        <v>1645999</v>
      </c>
      <c r="K12" s="99">
        <v>1645759</v>
      </c>
      <c r="L12" s="99">
        <v>1648145</v>
      </c>
      <c r="M12" s="99">
        <f t="shared" si="2"/>
        <v>1648145</v>
      </c>
      <c r="N12" s="99">
        <v>1648145</v>
      </c>
      <c r="O12" s="99">
        <v>1648145</v>
      </c>
      <c r="P12" s="99">
        <v>1648145</v>
      </c>
      <c r="Q12" s="99">
        <v>1648145</v>
      </c>
      <c r="R12" s="99">
        <f t="shared" si="3"/>
        <v>1648145</v>
      </c>
      <c r="S12" s="99">
        <v>1648145</v>
      </c>
      <c r="T12" s="99">
        <v>1648145</v>
      </c>
      <c r="U12" s="99">
        <v>1648145</v>
      </c>
      <c r="V12" s="99">
        <v>1648145</v>
      </c>
      <c r="W12" s="99">
        <f t="shared" si="4"/>
        <v>1648145</v>
      </c>
      <c r="X12" s="99">
        <v>1648145</v>
      </c>
      <c r="Y12" s="99">
        <v>1648145</v>
      </c>
      <c r="Z12" s="99">
        <v>1648145</v>
      </c>
      <c r="AA12" s="114">
        <f>W12</f>
        <v>1648145</v>
      </c>
      <c r="AB12" s="114">
        <f t="shared" ref="AB12:AE12" si="7">X12</f>
        <v>1648145</v>
      </c>
      <c r="AC12" s="114">
        <f t="shared" si="7"/>
        <v>1648145</v>
      </c>
      <c r="AD12" s="114">
        <f t="shared" si="7"/>
        <v>1648145</v>
      </c>
      <c r="AE12" s="114">
        <f t="shared" si="7"/>
        <v>1648145</v>
      </c>
      <c r="AF12" s="1"/>
      <c r="AG12" s="23"/>
      <c r="AH12" s="23"/>
    </row>
    <row r="13" spans="1:38" x14ac:dyDescent="0.15">
      <c r="B13" s="23" t="s">
        <v>88</v>
      </c>
      <c r="C13" s="99">
        <v>37420</v>
      </c>
      <c r="D13" s="99">
        <v>38778</v>
      </c>
      <c r="E13" s="99">
        <v>42973</v>
      </c>
      <c r="F13" s="99">
        <v>44908</v>
      </c>
      <c r="G13" s="99">
        <v>49807</v>
      </c>
      <c r="H13" s="99">
        <f t="shared" si="1"/>
        <v>49807</v>
      </c>
      <c r="I13" s="99">
        <v>48842</v>
      </c>
      <c r="J13" s="99">
        <f>(48878*(1))*1</f>
        <v>48878</v>
      </c>
      <c r="K13" s="99">
        <v>48151</v>
      </c>
      <c r="L13" s="99">
        <v>52180</v>
      </c>
      <c r="M13" s="99">
        <f t="shared" si="2"/>
        <v>52180</v>
      </c>
      <c r="N13" s="99">
        <v>53494</v>
      </c>
      <c r="O13" s="99">
        <v>52696</v>
      </c>
      <c r="P13" s="99">
        <v>52446</v>
      </c>
      <c r="Q13" s="99">
        <v>67868</v>
      </c>
      <c r="R13" s="99">
        <f t="shared" si="3"/>
        <v>67868</v>
      </c>
      <c r="S13" s="99">
        <v>68875</v>
      </c>
      <c r="T13" s="99">
        <v>65408</v>
      </c>
      <c r="U13" s="99">
        <v>67745</v>
      </c>
      <c r="V13" s="99">
        <v>71574</v>
      </c>
      <c r="W13" s="99">
        <f t="shared" si="4"/>
        <v>71574</v>
      </c>
      <c r="X13" s="99">
        <v>71283</v>
      </c>
      <c r="Y13" s="99">
        <v>80401</v>
      </c>
      <c r="Z13" s="99">
        <v>85005</v>
      </c>
      <c r="AA13" s="246">
        <f>'Balance Sheet Build'!H11*'annual IS'!H8</f>
        <v>93755.430716569579</v>
      </c>
      <c r="AB13" s="246">
        <f>'Balance Sheet Build'!I11*'annual IS'!I8</f>
        <v>103178.65743213195</v>
      </c>
      <c r="AC13" s="246">
        <f>'Balance Sheet Build'!J11*'annual IS'!J8</f>
        <v>113018.24956173176</v>
      </c>
      <c r="AD13" s="246">
        <f>'Balance Sheet Build'!K11*'annual IS'!K8</f>
        <v>120823.96122082947</v>
      </c>
      <c r="AE13" s="246">
        <f>'Balance Sheet Build'!L11*'annual IS'!L8</f>
        <v>129317.97612908127</v>
      </c>
      <c r="AF13" s="1"/>
      <c r="AG13" s="23"/>
      <c r="AH13" s="23"/>
    </row>
    <row r="14" spans="1:38" x14ac:dyDescent="0.15">
      <c r="B14" s="23" t="s">
        <v>211</v>
      </c>
      <c r="C14" s="11">
        <f>SUM(C9:C13)</f>
        <v>2250230</v>
      </c>
      <c r="D14" s="11">
        <f t="shared" ref="D14:W14" si="8">SUM(D9:D13)</f>
        <v>2296758</v>
      </c>
      <c r="E14" s="11">
        <f t="shared" si="8"/>
        <v>2288020</v>
      </c>
      <c r="F14" s="11">
        <f t="shared" si="8"/>
        <v>2335483</v>
      </c>
      <c r="G14" s="11">
        <f t="shared" si="8"/>
        <v>2755765</v>
      </c>
      <c r="H14" s="11">
        <f t="shared" si="8"/>
        <v>2755765</v>
      </c>
      <c r="I14" s="11">
        <f t="shared" si="8"/>
        <v>2786144</v>
      </c>
      <c r="J14" s="11">
        <f t="shared" si="8"/>
        <v>2765438</v>
      </c>
      <c r="K14" s="11">
        <f t="shared" si="8"/>
        <v>2732597</v>
      </c>
      <c r="L14" s="11">
        <f t="shared" si="8"/>
        <v>2706007</v>
      </c>
      <c r="M14" s="11">
        <f t="shared" si="8"/>
        <v>2706007</v>
      </c>
      <c r="N14" s="11">
        <f t="shared" si="8"/>
        <v>2676600</v>
      </c>
      <c r="O14" s="11">
        <f t="shared" si="8"/>
        <v>2643899</v>
      </c>
      <c r="P14" s="11">
        <f t="shared" si="8"/>
        <v>2619094</v>
      </c>
      <c r="Q14" s="11">
        <f t="shared" si="8"/>
        <v>2606354</v>
      </c>
      <c r="R14" s="11">
        <f t="shared" si="8"/>
        <v>2606354</v>
      </c>
      <c r="S14" s="11">
        <f t="shared" si="8"/>
        <v>2841582</v>
      </c>
      <c r="T14" s="11">
        <f t="shared" si="8"/>
        <v>3018839</v>
      </c>
      <c r="U14" s="11">
        <f t="shared" si="8"/>
        <v>2993101</v>
      </c>
      <c r="V14" s="11">
        <f t="shared" si="8"/>
        <v>2970801</v>
      </c>
      <c r="W14" s="11">
        <f t="shared" si="8"/>
        <v>2970801</v>
      </c>
      <c r="X14" s="99">
        <f t="shared" ref="X14" si="9">SUM(X9:X13)</f>
        <v>2943477</v>
      </c>
      <c r="Y14" s="99">
        <f t="shared" ref="Y14" si="10">SUM(Y9:Y13)</f>
        <v>2923846</v>
      </c>
      <c r="Z14" s="99">
        <f t="shared" ref="Z14" si="11">SUM(Z9:Z13)</f>
        <v>2899353</v>
      </c>
      <c r="AA14" s="11">
        <f t="shared" ref="AA14" si="12">SUM(AA9:AA13)</f>
        <v>2846345.2336475528</v>
      </c>
      <c r="AB14" s="11">
        <f t="shared" ref="AB14" si="13">SUM(AB9:AB13)</f>
        <v>2725480.781836661</v>
      </c>
      <c r="AC14" s="11">
        <f t="shared" ref="AC14" si="14">SUM(AC9:AC13)</f>
        <v>2623602.3287641359</v>
      </c>
      <c r="AD14" s="11">
        <f t="shared" ref="AD14" si="15">SUM(AD9:AD13)</f>
        <v>2533043.8267887942</v>
      </c>
      <c r="AE14" s="11">
        <f t="shared" ref="AE14" si="16">SUM(AE9:AE13)</f>
        <v>2445329.8927325904</v>
      </c>
      <c r="AF14" s="1"/>
      <c r="AG14" s="23"/>
      <c r="AH14" s="23"/>
    </row>
    <row r="15" spans="1:38" x14ac:dyDescent="0.15">
      <c r="B15" s="23" t="s">
        <v>89</v>
      </c>
      <c r="C15" s="11">
        <f>SUM(C9:C13,C8)</f>
        <v>2710407</v>
      </c>
      <c r="D15" s="11">
        <f>SUM(D9:D13,D8)</f>
        <v>3161869</v>
      </c>
      <c r="E15" s="11">
        <f>SUM(E9:E13,E8)</f>
        <v>3148634</v>
      </c>
      <c r="F15" s="11">
        <f>SUM(F9:F13,F8)</f>
        <v>3099614</v>
      </c>
      <c r="G15" s="11">
        <f>SUM(G9:G13,G8)</f>
        <v>3107102</v>
      </c>
      <c r="H15" s="11">
        <f t="shared" si="1"/>
        <v>3107102</v>
      </c>
      <c r="I15" s="11">
        <f>SUM(I9:I13,I8)</f>
        <v>3065067</v>
      </c>
      <c r="J15" s="11">
        <f>SUM(J9:J13,J8)</f>
        <v>3074024</v>
      </c>
      <c r="K15" s="11">
        <f>SUM(K9:K13,K8)</f>
        <v>3064757</v>
      </c>
      <c r="L15" s="11">
        <f>SUM(L9:L13,L8)</f>
        <v>3088900</v>
      </c>
      <c r="M15" s="11">
        <f t="shared" si="2"/>
        <v>3088900</v>
      </c>
      <c r="N15" s="11">
        <f>SUM(N9:N13,N8)</f>
        <v>3035009</v>
      </c>
      <c r="O15" s="11">
        <f>SUM(O9:O13,O8)</f>
        <v>3066456</v>
      </c>
      <c r="P15" s="11">
        <f>SUM(P9:P13,P8)</f>
        <v>3093502</v>
      </c>
      <c r="Q15" s="11">
        <f>SUM(Q9:Q13,Q8)</f>
        <v>3163790</v>
      </c>
      <c r="R15" s="11">
        <f t="shared" si="3"/>
        <v>3163790</v>
      </c>
      <c r="S15" s="11">
        <f>SUM(S9:S13,S8)</f>
        <v>3246484</v>
      </c>
      <c r="T15" s="11">
        <f>SUM(T9:T13,T8)</f>
        <v>3514466</v>
      </c>
      <c r="U15" s="11">
        <f>SUM(U9:U13,U8)</f>
        <v>3488347</v>
      </c>
      <c r="V15" s="11">
        <f>SUM(V9:V13,V8)</f>
        <v>3448550</v>
      </c>
      <c r="W15" s="11">
        <f t="shared" si="4"/>
        <v>3448550</v>
      </c>
      <c r="X15" s="100">
        <f t="shared" ref="X15" si="17">W15</f>
        <v>3448550</v>
      </c>
      <c r="Y15" s="100">
        <f t="shared" ref="Y15" si="18">X15</f>
        <v>3448550</v>
      </c>
      <c r="Z15" s="100">
        <f t="shared" ref="Z15" si="19">Y15</f>
        <v>3448550</v>
      </c>
      <c r="AA15" s="11">
        <f>AA14+AA8</f>
        <v>3801750.8422845304</v>
      </c>
      <c r="AB15" s="11">
        <f t="shared" ref="AB15:AE15" si="20">AB14+AB8</f>
        <v>4155604.6303973971</v>
      </c>
      <c r="AC15" s="11">
        <f t="shared" si="20"/>
        <v>4541690.6758848801</v>
      </c>
      <c r="AD15" s="11">
        <f t="shared" si="20"/>
        <v>4912515.9752490614</v>
      </c>
      <c r="AE15" s="11">
        <f t="shared" si="20"/>
        <v>5309524.7164176488</v>
      </c>
      <c r="AF15" s="1"/>
      <c r="AG15" s="23"/>
      <c r="AH15" s="23"/>
      <c r="AJ15" s="1"/>
      <c r="AK15" s="1"/>
      <c r="AL15" s="1"/>
    </row>
    <row r="16" spans="1:38" x14ac:dyDescent="0.15">
      <c r="B16" s="19" t="s">
        <v>90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11"/>
      <c r="AC16" s="22"/>
      <c r="AD16" s="1"/>
      <c r="AF16" s="1"/>
      <c r="AG16" s="23"/>
      <c r="AH16" s="23"/>
    </row>
    <row r="17" spans="2:38" x14ac:dyDescent="0.15">
      <c r="B17" s="19" t="s">
        <v>91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B17" s="1"/>
      <c r="AC17" s="1"/>
      <c r="AD17" s="1"/>
      <c r="AF17" s="1"/>
      <c r="AG17" s="23"/>
      <c r="AH17" s="23"/>
    </row>
    <row r="18" spans="2:38" x14ac:dyDescent="0.15">
      <c r="B18" s="23" t="s">
        <v>92</v>
      </c>
      <c r="C18" s="99">
        <v>1614</v>
      </c>
      <c r="D18" s="99">
        <v>9636</v>
      </c>
      <c r="E18" s="99">
        <v>4696</v>
      </c>
      <c r="F18" s="99">
        <v>5244</v>
      </c>
      <c r="G18" s="187">
        <v>2</v>
      </c>
      <c r="H18" s="99">
        <v>27541</v>
      </c>
      <c r="I18" s="99">
        <v>13661</v>
      </c>
      <c r="J18" s="99">
        <f>(15841*(1))*1</f>
        <v>15841</v>
      </c>
      <c r="K18" s="99">
        <v>15842</v>
      </c>
      <c r="L18" s="99">
        <v>13899</v>
      </c>
      <c r="M18" s="99">
        <f t="shared" si="2"/>
        <v>13899</v>
      </c>
      <c r="N18" s="99">
        <v>13362</v>
      </c>
      <c r="O18" s="99">
        <v>12543</v>
      </c>
      <c r="P18" s="99">
        <v>13419</v>
      </c>
      <c r="Q18" s="99">
        <v>12041</v>
      </c>
      <c r="R18" s="99">
        <f t="shared" si="3"/>
        <v>12041</v>
      </c>
      <c r="S18" s="99">
        <v>18167</v>
      </c>
      <c r="T18" s="99">
        <v>10562</v>
      </c>
      <c r="U18" s="99">
        <v>10352</v>
      </c>
      <c r="V18" s="99">
        <v>14361</v>
      </c>
      <c r="W18" s="99">
        <f t="shared" si="4"/>
        <v>14361</v>
      </c>
      <c r="X18" s="99">
        <v>13496</v>
      </c>
      <c r="Y18" s="99">
        <v>9600</v>
      </c>
      <c r="Z18" s="99">
        <v>19549</v>
      </c>
      <c r="AA18" s="114">
        <f>'Balance Sheet Build'!H32*'annual IS'!H15</f>
        <v>14956.661551935753</v>
      </c>
      <c r="AB18" s="114">
        <f>'Balance Sheet Build'!I32*'annual IS'!I15</f>
        <v>15641.445430631162</v>
      </c>
      <c r="AC18" s="114">
        <f>'Balance Sheet Build'!J32*'annual IS'!J15</f>
        <v>16369.47508872405</v>
      </c>
      <c r="AD18" s="114">
        <f>'Balance Sheet Build'!K32*'annual IS'!K15</f>
        <v>17052.272218367929</v>
      </c>
      <c r="AE18" s="114">
        <f>'Balance Sheet Build'!L32*'annual IS'!L15</f>
        <v>17788.78307291328</v>
      </c>
      <c r="AF18" s="1"/>
      <c r="AG18" s="23"/>
      <c r="AH18" s="23"/>
      <c r="AJ18" s="1"/>
      <c r="AK18" s="1"/>
      <c r="AL18" s="1"/>
    </row>
    <row r="19" spans="2:38" x14ac:dyDescent="0.15">
      <c r="B19" s="23" t="s">
        <v>93</v>
      </c>
      <c r="C19" s="99">
        <v>50670</v>
      </c>
      <c r="D19" s="99">
        <v>33045</v>
      </c>
      <c r="E19" s="99">
        <v>40154</v>
      </c>
      <c r="F19" s="99">
        <v>32695</v>
      </c>
      <c r="G19" s="187">
        <v>-211.46912275347859</v>
      </c>
      <c r="H19" s="99">
        <v>47136</v>
      </c>
      <c r="I19" s="99">
        <v>33405</v>
      </c>
      <c r="J19" s="99">
        <f>(41989*(1))*1</f>
        <v>41989</v>
      </c>
      <c r="K19" s="99">
        <v>35140</v>
      </c>
      <c r="L19" s="99">
        <v>45835</v>
      </c>
      <c r="M19" s="99">
        <f t="shared" si="2"/>
        <v>45835</v>
      </c>
      <c r="N19" s="99">
        <v>20001</v>
      </c>
      <c r="O19" s="99">
        <v>31421</v>
      </c>
      <c r="P19" s="99">
        <v>31208</v>
      </c>
      <c r="Q19" s="99">
        <v>49608</v>
      </c>
      <c r="R19" s="99">
        <f t="shared" si="3"/>
        <v>49608</v>
      </c>
      <c r="S19" s="99">
        <v>23103</v>
      </c>
      <c r="T19" s="99">
        <v>37072</v>
      </c>
      <c r="U19" s="99">
        <v>47514</v>
      </c>
      <c r="V19" s="99">
        <v>69330</v>
      </c>
      <c r="W19" s="99">
        <f t="shared" si="4"/>
        <v>69330</v>
      </c>
      <c r="X19" s="99">
        <v>24433</v>
      </c>
      <c r="Y19" s="99">
        <v>32482</v>
      </c>
      <c r="Z19" s="99">
        <v>43735</v>
      </c>
      <c r="AA19" s="114">
        <f>'Balance Sheet Build'!H34*'annual IS'!H25</f>
        <v>71628.365037166601</v>
      </c>
      <c r="AB19" s="114">
        <f>'Balance Sheet Build'!I34*'annual IS'!I25</f>
        <v>73585.786615158519</v>
      </c>
      <c r="AC19" s="114">
        <f>'Balance Sheet Build'!J34*'annual IS'!J25</f>
        <v>75615.7817369033</v>
      </c>
      <c r="AD19" s="114">
        <f>'Balance Sheet Build'!K34*'annual IS'!K25</f>
        <v>75652.387793676287</v>
      </c>
      <c r="AE19" s="114">
        <f>'Balance Sheet Build'!L34*'annual IS'!L25</f>
        <v>75570.379687008462</v>
      </c>
      <c r="AF19" s="1"/>
      <c r="AG19" s="23"/>
      <c r="AH19" s="23"/>
    </row>
    <row r="20" spans="2:38" x14ac:dyDescent="0.15">
      <c r="B20" s="23" t="s">
        <v>94</v>
      </c>
      <c r="C20" s="99">
        <v>75880</v>
      </c>
      <c r="D20" s="99">
        <v>73446</v>
      </c>
      <c r="E20" s="99">
        <v>49098</v>
      </c>
      <c r="F20" s="99">
        <v>49879</v>
      </c>
      <c r="G20" s="187">
        <v>30786.203245683573</v>
      </c>
      <c r="H20" s="99">
        <v>57589</v>
      </c>
      <c r="I20" s="99">
        <v>47840</v>
      </c>
      <c r="J20" s="99">
        <f>(43287*(1))*1</f>
        <v>43287</v>
      </c>
      <c r="K20" s="99">
        <v>33367</v>
      </c>
      <c r="L20" s="99">
        <v>43668</v>
      </c>
      <c r="M20" s="99">
        <f t="shared" si="2"/>
        <v>43668</v>
      </c>
      <c r="N20" s="99">
        <v>45647</v>
      </c>
      <c r="O20" s="99">
        <v>49281</v>
      </c>
      <c r="P20" s="99">
        <v>41840</v>
      </c>
      <c r="Q20" s="99">
        <v>46038</v>
      </c>
      <c r="R20" s="99">
        <f t="shared" si="3"/>
        <v>46038</v>
      </c>
      <c r="S20" s="99">
        <v>41192</v>
      </c>
      <c r="T20" s="99">
        <v>63379</v>
      </c>
      <c r="U20" s="99">
        <v>86725</v>
      </c>
      <c r="V20" s="99">
        <v>62631</v>
      </c>
      <c r="W20" s="99">
        <f t="shared" si="4"/>
        <v>62631</v>
      </c>
      <c r="X20" s="99">
        <v>68444</v>
      </c>
      <c r="Y20" s="99">
        <v>64543</v>
      </c>
      <c r="Z20" s="99">
        <v>47413</v>
      </c>
      <c r="AA20" s="114">
        <f>'Balance Sheet Build'!H36*'annual IS'!H25</f>
        <v>68477.397455856146</v>
      </c>
      <c r="AB20" s="114">
        <f>'Balance Sheet Build'!I36*'annual IS'!I25</f>
        <v>73772.157395828719</v>
      </c>
      <c r="AC20" s="114">
        <f>'Balance Sheet Build'!J36*'annual IS'!J25</f>
        <v>79685.085060871366</v>
      </c>
      <c r="AD20" s="114">
        <f>'Balance Sheet Build'!K36*'annual IS'!K25</f>
        <v>84021.643110412333</v>
      </c>
      <c r="AE20" s="114">
        <f>'Balance Sheet Build'!L36*'annual IS'!L25</f>
        <v>88713.178489268612</v>
      </c>
      <c r="AF20" s="1"/>
      <c r="AG20" s="23"/>
      <c r="AH20" s="23"/>
    </row>
    <row r="21" spans="2:38" x14ac:dyDescent="0.15">
      <c r="B21" s="23" t="s">
        <v>95</v>
      </c>
      <c r="C21" s="99">
        <v>62500</v>
      </c>
      <c r="D21" s="99">
        <v>62500</v>
      </c>
      <c r="E21" s="99">
        <v>78125</v>
      </c>
      <c r="F21" s="99">
        <v>6563</v>
      </c>
      <c r="G21" s="187">
        <v>80272.686683227308</v>
      </c>
      <c r="H21" s="99">
        <v>8750</v>
      </c>
      <c r="I21" s="99">
        <v>10938</v>
      </c>
      <c r="J21" s="99">
        <f>(13125*(1))*1</f>
        <v>13125</v>
      </c>
      <c r="K21" s="99">
        <v>15313</v>
      </c>
      <c r="L21" s="99">
        <v>17500</v>
      </c>
      <c r="M21" s="99">
        <f t="shared" si="2"/>
        <v>17500</v>
      </c>
      <c r="N21" s="99" t="s">
        <v>114</v>
      </c>
      <c r="O21" s="99" t="s">
        <v>114</v>
      </c>
      <c r="P21" s="99" t="s">
        <v>114</v>
      </c>
      <c r="Q21" s="99" t="s">
        <v>114</v>
      </c>
      <c r="R21" s="99">
        <v>0</v>
      </c>
      <c r="S21" s="99" t="s">
        <v>114</v>
      </c>
      <c r="T21" s="99" t="s">
        <v>114</v>
      </c>
      <c r="U21" s="99" t="s">
        <v>114</v>
      </c>
      <c r="V21" s="99" t="s">
        <v>114</v>
      </c>
      <c r="W21" s="99">
        <v>0</v>
      </c>
      <c r="X21" s="99" t="s">
        <v>114</v>
      </c>
      <c r="Y21" s="99" t="s">
        <v>114</v>
      </c>
      <c r="Z21" s="99" t="s">
        <v>114</v>
      </c>
      <c r="AA21" s="114">
        <v>0</v>
      </c>
      <c r="AB21" s="114">
        <v>0</v>
      </c>
      <c r="AC21" s="114">
        <v>0</v>
      </c>
      <c r="AD21" s="114">
        <v>0</v>
      </c>
      <c r="AE21" s="114">
        <v>0</v>
      </c>
      <c r="AF21" s="1"/>
      <c r="AG21" s="23"/>
      <c r="AH21" s="23"/>
    </row>
    <row r="22" spans="2:38" x14ac:dyDescent="0.15">
      <c r="B22" s="23" t="s">
        <v>96</v>
      </c>
      <c r="C22" s="99">
        <v>14037</v>
      </c>
      <c r="D22" s="99">
        <v>13677</v>
      </c>
      <c r="E22" s="99">
        <v>13051</v>
      </c>
      <c r="F22" s="99">
        <v>12693</v>
      </c>
      <c r="G22" s="187">
        <v>92850.675176846795</v>
      </c>
      <c r="H22" s="99">
        <v>12171</v>
      </c>
      <c r="I22" s="99">
        <v>11807</v>
      </c>
      <c r="J22" s="99">
        <f>(11275*(1))*1</f>
        <v>11275</v>
      </c>
      <c r="K22" s="99">
        <v>10713</v>
      </c>
      <c r="L22" s="99">
        <v>10159</v>
      </c>
      <c r="M22" s="99">
        <f t="shared" si="2"/>
        <v>10159</v>
      </c>
      <c r="N22" s="99">
        <v>10646</v>
      </c>
      <c r="O22" s="99">
        <v>10026</v>
      </c>
      <c r="P22" s="99">
        <v>9769</v>
      </c>
      <c r="Q22" s="99">
        <v>9404</v>
      </c>
      <c r="R22" s="99">
        <f t="shared" si="3"/>
        <v>9404</v>
      </c>
      <c r="S22" s="99">
        <v>9755</v>
      </c>
      <c r="T22" s="99">
        <v>9895</v>
      </c>
      <c r="U22" s="99">
        <v>9948</v>
      </c>
      <c r="V22" s="99">
        <v>10001</v>
      </c>
      <c r="W22" s="99">
        <f t="shared" si="4"/>
        <v>10001</v>
      </c>
      <c r="X22" s="99">
        <v>9969</v>
      </c>
      <c r="Y22" s="99">
        <v>9950</v>
      </c>
      <c r="Z22" s="99">
        <v>9931</v>
      </c>
      <c r="AA22" s="114">
        <f>'Balance Sheet Build'!H38*'annual IS'!H25</f>
        <v>15942.878096158645</v>
      </c>
      <c r="AB22" s="114">
        <f>'Balance Sheet Build'!I38*'annual IS'!I25</f>
        <v>17175.60181825723</v>
      </c>
      <c r="AC22" s="114">
        <f>'Balance Sheet Build'!J38*'annual IS'!J25</f>
        <v>18552.247083082741</v>
      </c>
      <c r="AD22" s="114">
        <f>'Balance Sheet Build'!K38*'annual IS'!K25</f>
        <v>19561.882654956167</v>
      </c>
      <c r="AE22" s="114">
        <f>'Balance Sheet Build'!L38*'annual IS'!L25</f>
        <v>20654.163895304686</v>
      </c>
      <c r="AF22" s="1"/>
      <c r="AG22" s="23"/>
      <c r="AH22" s="23"/>
    </row>
    <row r="23" spans="2:38" x14ac:dyDescent="0.15">
      <c r="B23" s="23" t="s">
        <v>97</v>
      </c>
      <c r="C23" s="99">
        <f>SUM(C18:C22)</f>
        <v>204701</v>
      </c>
      <c r="D23" s="99">
        <f>SUM(D18:D22)</f>
        <v>192304</v>
      </c>
      <c r="E23" s="99">
        <f t="shared" ref="E23:Z23" si="21">SUM(E18:E22)</f>
        <v>185124</v>
      </c>
      <c r="F23" s="99">
        <f t="shared" si="21"/>
        <v>107074</v>
      </c>
      <c r="G23" s="99">
        <v>153187</v>
      </c>
      <c r="H23" s="99">
        <f t="shared" si="1"/>
        <v>153187</v>
      </c>
      <c r="I23" s="99">
        <f t="shared" si="21"/>
        <v>117651</v>
      </c>
      <c r="J23" s="99">
        <f t="shared" si="21"/>
        <v>125517</v>
      </c>
      <c r="K23" s="99">
        <f t="shared" si="21"/>
        <v>110375</v>
      </c>
      <c r="L23" s="99">
        <f t="shared" si="21"/>
        <v>131061</v>
      </c>
      <c r="M23" s="99">
        <f t="shared" si="2"/>
        <v>131061</v>
      </c>
      <c r="N23" s="99">
        <f t="shared" si="21"/>
        <v>89656</v>
      </c>
      <c r="O23" s="99">
        <f t="shared" si="21"/>
        <v>103271</v>
      </c>
      <c r="P23" s="99">
        <f t="shared" si="21"/>
        <v>96236</v>
      </c>
      <c r="Q23" s="99">
        <f t="shared" si="21"/>
        <v>117091</v>
      </c>
      <c r="R23" s="99">
        <f t="shared" si="3"/>
        <v>117091</v>
      </c>
      <c r="S23" s="99">
        <f t="shared" si="21"/>
        <v>92217</v>
      </c>
      <c r="T23" s="99">
        <f t="shared" si="21"/>
        <v>120908</v>
      </c>
      <c r="U23" s="99">
        <f t="shared" si="21"/>
        <v>154539</v>
      </c>
      <c r="V23" s="99">
        <f t="shared" si="21"/>
        <v>156323</v>
      </c>
      <c r="W23" s="99">
        <f t="shared" si="4"/>
        <v>156323</v>
      </c>
      <c r="X23" s="100">
        <f t="shared" si="21"/>
        <v>116342</v>
      </c>
      <c r="Y23" s="100">
        <f t="shared" si="21"/>
        <v>116575</v>
      </c>
      <c r="Z23" s="100">
        <f t="shared" si="21"/>
        <v>120628</v>
      </c>
      <c r="AA23" s="114">
        <f>SUM(AA18:AA22)</f>
        <v>171005.30214111714</v>
      </c>
      <c r="AB23" s="114">
        <f t="shared" ref="AB23:AE23" si="22">SUM(AB18:AB22)</f>
        <v>180174.99125987565</v>
      </c>
      <c r="AC23" s="114">
        <f t="shared" si="22"/>
        <v>190222.58896958147</v>
      </c>
      <c r="AD23" s="114">
        <f t="shared" si="22"/>
        <v>196288.1857774127</v>
      </c>
      <c r="AE23" s="114">
        <f t="shared" si="22"/>
        <v>202726.50514449505</v>
      </c>
      <c r="AF23" s="1"/>
      <c r="AG23" s="23"/>
      <c r="AH23" s="23"/>
    </row>
    <row r="24" spans="2:38" x14ac:dyDescent="0.15">
      <c r="B24" s="70" t="s">
        <v>98</v>
      </c>
      <c r="C24" s="99"/>
      <c r="D24" s="99"/>
      <c r="E24" s="99"/>
      <c r="F24" s="99"/>
      <c r="G24" s="100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11"/>
      <c r="AB24" s="23"/>
      <c r="AC24" s="23"/>
      <c r="AD24" s="23"/>
      <c r="AE24" s="23"/>
      <c r="AF24" s="1"/>
      <c r="AG24" s="23"/>
      <c r="AH24" s="23"/>
    </row>
    <row r="25" spans="2:38" x14ac:dyDescent="0.15">
      <c r="B25" s="23" t="s">
        <v>99</v>
      </c>
      <c r="C25" s="99">
        <v>924217</v>
      </c>
      <c r="D25" s="99">
        <v>909820</v>
      </c>
      <c r="E25" s="99">
        <v>895449</v>
      </c>
      <c r="F25" s="99">
        <v>923501</v>
      </c>
      <c r="G25" s="99">
        <v>922077</v>
      </c>
      <c r="H25" s="99">
        <f t="shared" si="1"/>
        <v>922077</v>
      </c>
      <c r="I25" s="99">
        <v>918514</v>
      </c>
      <c r="J25" s="99">
        <f>(914966*(1))*1</f>
        <v>914966</v>
      </c>
      <c r="K25" s="99">
        <v>911406</v>
      </c>
      <c r="L25" s="99">
        <v>907838</v>
      </c>
      <c r="M25" s="99">
        <f t="shared" si="2"/>
        <v>907838</v>
      </c>
      <c r="N25" s="99">
        <v>872902</v>
      </c>
      <c r="O25" s="99">
        <v>873581</v>
      </c>
      <c r="P25" s="99">
        <v>874270</v>
      </c>
      <c r="Q25" s="99">
        <v>874972</v>
      </c>
      <c r="R25" s="99">
        <f t="shared" si="3"/>
        <v>874972</v>
      </c>
      <c r="S25" s="99">
        <v>925675</v>
      </c>
      <c r="T25" s="99">
        <v>1101400</v>
      </c>
      <c r="U25" s="99">
        <v>1081039</v>
      </c>
      <c r="V25" s="99">
        <v>1056301</v>
      </c>
      <c r="W25" s="99">
        <f t="shared" si="4"/>
        <v>1056301</v>
      </c>
      <c r="X25" s="99">
        <v>1056566</v>
      </c>
      <c r="Y25" s="99">
        <v>1006834</v>
      </c>
      <c r="Z25" s="99">
        <v>982105</v>
      </c>
      <c r="AA25" s="114">
        <f>'Balance Sheet Build'!H41*'annual IS'!H8</f>
        <v>1152410.4737188877</v>
      </c>
      <c r="AB25" s="114">
        <f>'Balance Sheet Build'!I41*'annual IS'!I8</f>
        <v>1221310.7201215297</v>
      </c>
      <c r="AC25" s="114">
        <f>'Balance Sheet Build'!J41*'annual IS'!J8</f>
        <v>1287806.2936728799</v>
      </c>
      <c r="AD25" s="114">
        <f>'Balance Sheet Build'!K41*'annual IS'!K8</f>
        <v>1324787.8040038021</v>
      </c>
      <c r="AE25" s="114">
        <f>'Balance Sheet Build'!L41*'annual IS'!L8</f>
        <v>1363809.4741389742</v>
      </c>
      <c r="AF25" s="1"/>
      <c r="AG25" s="23"/>
      <c r="AH25" s="23"/>
    </row>
    <row r="26" spans="2:38" x14ac:dyDescent="0.15">
      <c r="B26" s="23" t="s">
        <v>100</v>
      </c>
      <c r="C26" s="99">
        <v>74224</v>
      </c>
      <c r="D26" s="99">
        <v>71916</v>
      </c>
      <c r="E26" s="99">
        <v>69998</v>
      </c>
      <c r="F26" s="99">
        <v>67836</v>
      </c>
      <c r="G26" s="99">
        <v>65232</v>
      </c>
      <c r="H26" s="99">
        <f t="shared" si="1"/>
        <v>65232</v>
      </c>
      <c r="I26" s="99">
        <v>64344</v>
      </c>
      <c r="J26" s="99">
        <f>(62626*(1))*1</f>
        <v>62626</v>
      </c>
      <c r="K26" s="99">
        <v>60819</v>
      </c>
      <c r="L26" s="99">
        <v>58988</v>
      </c>
      <c r="M26" s="99">
        <f t="shared" si="2"/>
        <v>58988</v>
      </c>
      <c r="N26" s="99">
        <v>58625</v>
      </c>
      <c r="O26" s="99">
        <v>52371</v>
      </c>
      <c r="P26" s="99">
        <v>50580</v>
      </c>
      <c r="Q26" s="99">
        <v>48766</v>
      </c>
      <c r="R26" s="99">
        <f t="shared" si="3"/>
        <v>48766</v>
      </c>
      <c r="S26" s="99">
        <v>48253</v>
      </c>
      <c r="T26" s="99">
        <v>46158</v>
      </c>
      <c r="U26" s="99">
        <v>44202</v>
      </c>
      <c r="V26" s="99">
        <v>42219</v>
      </c>
      <c r="W26" s="99">
        <f t="shared" si="4"/>
        <v>42219</v>
      </c>
      <c r="X26" s="99">
        <v>40223</v>
      </c>
      <c r="Y26" s="99">
        <v>38240</v>
      </c>
      <c r="Z26" s="99">
        <v>36228</v>
      </c>
      <c r="AA26" s="114">
        <f>'Balance Sheet Build'!H43*'Expense Build'!AA15</f>
        <v>45642.756433031085</v>
      </c>
      <c r="AB26" s="114">
        <f>'Balance Sheet Build'!I43*'Expense Build'!AB15</f>
        <v>45590.937523434681</v>
      </c>
      <c r="AC26" s="114">
        <f>'Balance Sheet Build'!J43*'Expense Build'!AC15</f>
        <v>45377.111622229313</v>
      </c>
      <c r="AD26" s="114">
        <f>'Balance Sheet Build'!K43*'Expense Build'!AD15</f>
        <v>43768.092927607089</v>
      </c>
      <c r="AE26" s="114">
        <f>'Balance Sheet Build'!L43*'Expense Build'!AE15</f>
        <v>41905.754279230168</v>
      </c>
      <c r="AF26" s="1"/>
      <c r="AG26" s="23"/>
      <c r="AH26" s="23"/>
    </row>
    <row r="27" spans="2:38" x14ac:dyDescent="0.15">
      <c r="B27" s="23" t="s">
        <v>101</v>
      </c>
      <c r="C27" s="99">
        <v>8808</v>
      </c>
      <c r="D27" s="99">
        <v>14811</v>
      </c>
      <c r="E27" s="99">
        <v>20091</v>
      </c>
      <c r="F27" s="99">
        <v>18953</v>
      </c>
      <c r="G27" s="99">
        <v>14185</v>
      </c>
      <c r="H27" s="99">
        <f t="shared" si="1"/>
        <v>14185</v>
      </c>
      <c r="I27" s="99">
        <v>13919</v>
      </c>
      <c r="J27" s="99">
        <v>13731</v>
      </c>
      <c r="K27" s="99">
        <v>9758</v>
      </c>
      <c r="L27" s="99">
        <v>12708</v>
      </c>
      <c r="M27" s="99">
        <f t="shared" si="2"/>
        <v>12708</v>
      </c>
      <c r="N27" s="99">
        <v>13307</v>
      </c>
      <c r="O27" s="99">
        <v>13092</v>
      </c>
      <c r="P27" s="99">
        <v>17711</v>
      </c>
      <c r="Q27" s="99">
        <v>19270</v>
      </c>
      <c r="R27" s="99">
        <f t="shared" si="3"/>
        <v>19270</v>
      </c>
      <c r="S27" s="99">
        <v>19273</v>
      </c>
      <c r="T27" s="99">
        <v>25497</v>
      </c>
      <c r="U27" s="99">
        <v>25275</v>
      </c>
      <c r="V27" s="99">
        <v>22962</v>
      </c>
      <c r="W27" s="99">
        <f t="shared" si="4"/>
        <v>22962</v>
      </c>
      <c r="X27" s="99">
        <v>22178</v>
      </c>
      <c r="Y27" s="99">
        <v>21993</v>
      </c>
      <c r="Z27" s="99">
        <v>23501</v>
      </c>
      <c r="AA27" s="114">
        <f>'Balance Sheet Build'!H45*'annual IS'!H8</f>
        <v>22479.822419769775</v>
      </c>
      <c r="AB27" s="114">
        <f>'Balance Sheet Build'!I45*'annual IS'!I8</f>
        <v>24390.797841984899</v>
      </c>
      <c r="AC27" s="114">
        <f>'Balance Sheet Build'!J45*'annual IS'!J8</f>
        <v>26345.749797076965</v>
      </c>
      <c r="AD27" s="114">
        <f>'Balance Sheet Build'!K45*'annual IS'!K8</f>
        <v>27779.517148475672</v>
      </c>
      <c r="AE27" s="114">
        <f>'Balance Sheet Build'!L45*'annual IS'!L8</f>
        <v>29330.648293796814</v>
      </c>
      <c r="AF27" s="1"/>
      <c r="AG27" s="23"/>
      <c r="AH27" s="23"/>
    </row>
    <row r="28" spans="2:38" x14ac:dyDescent="0.15">
      <c r="B28" s="23" t="s">
        <v>102</v>
      </c>
      <c r="C28" s="99">
        <v>119729</v>
      </c>
      <c r="D28" s="99">
        <v>124748</v>
      </c>
      <c r="E28" s="99">
        <v>115306</v>
      </c>
      <c r="F28" s="99">
        <v>110400</v>
      </c>
      <c r="G28" s="99">
        <v>99846</v>
      </c>
      <c r="H28" s="99">
        <f t="shared" si="1"/>
        <v>99846</v>
      </c>
      <c r="I28" s="99">
        <v>95376</v>
      </c>
      <c r="J28" s="99">
        <f>(92288*(1))*1</f>
        <v>92288</v>
      </c>
      <c r="K28" s="99">
        <v>89281</v>
      </c>
      <c r="L28" s="99">
        <v>82665</v>
      </c>
      <c r="M28" s="99">
        <f t="shared" si="2"/>
        <v>82665</v>
      </c>
      <c r="N28" s="99">
        <v>81927</v>
      </c>
      <c r="O28" s="99">
        <v>74527</v>
      </c>
      <c r="P28" s="99">
        <v>66737</v>
      </c>
      <c r="Q28" s="99">
        <v>68670</v>
      </c>
      <c r="R28" s="99">
        <f t="shared" si="3"/>
        <v>68670</v>
      </c>
      <c r="S28" s="99">
        <v>63282</v>
      </c>
      <c r="T28" s="99">
        <v>63466</v>
      </c>
      <c r="U28" s="99">
        <v>58605</v>
      </c>
      <c r="V28" s="99">
        <v>55834</v>
      </c>
      <c r="W28" s="99">
        <f t="shared" si="4"/>
        <v>55834</v>
      </c>
      <c r="X28" s="99">
        <v>57158</v>
      </c>
      <c r="Y28" s="99">
        <v>86615</v>
      </c>
      <c r="Z28" s="99">
        <v>101573</v>
      </c>
      <c r="AA28" s="114">
        <f>'Balance Sheet Build'!H47*'annual IS'!H8</f>
        <v>55633.26424055385</v>
      </c>
      <c r="AB28" s="114">
        <f>'Balance Sheet Build'!I47*'annual IS'!I8</f>
        <v>53096.460556947946</v>
      </c>
      <c r="AC28" s="114">
        <f>'Balance Sheet Build'!J47*'annual IS'!J8</f>
        <v>49503.716553939114</v>
      </c>
      <c r="AD28" s="114">
        <f>'Balance Sheet Build'!K47*'annual IS'!K8</f>
        <v>43922.15449216227</v>
      </c>
      <c r="AE28" s="114">
        <f>'Balance Sheet Build'!L47*'annual IS'!L8</f>
        <v>37636.94461875697</v>
      </c>
      <c r="AF28" s="1"/>
      <c r="AG28" s="23"/>
      <c r="AH28" s="23"/>
    </row>
    <row r="29" spans="2:38" x14ac:dyDescent="0.15">
      <c r="B29" s="23" t="s">
        <v>103</v>
      </c>
      <c r="C29" s="11">
        <f>SUM(C25:C28)</f>
        <v>1126978</v>
      </c>
      <c r="D29" s="11">
        <f t="shared" ref="D29:Z29" si="23">SUM(D25:D28)</f>
        <v>1121295</v>
      </c>
      <c r="E29" s="11">
        <f t="shared" si="23"/>
        <v>1100844</v>
      </c>
      <c r="F29" s="11">
        <f t="shared" si="23"/>
        <v>1120690</v>
      </c>
      <c r="G29" s="11">
        <f t="shared" si="23"/>
        <v>1101340</v>
      </c>
      <c r="H29" s="11">
        <f t="shared" si="23"/>
        <v>1101340</v>
      </c>
      <c r="I29" s="11">
        <f t="shared" si="23"/>
        <v>1092153</v>
      </c>
      <c r="J29" s="11">
        <f t="shared" si="23"/>
        <v>1083611</v>
      </c>
      <c r="K29" s="11">
        <f t="shared" si="23"/>
        <v>1071264</v>
      </c>
      <c r="L29" s="11">
        <f t="shared" si="23"/>
        <v>1062199</v>
      </c>
      <c r="M29" s="11">
        <f t="shared" si="23"/>
        <v>1062199</v>
      </c>
      <c r="N29" s="11">
        <f t="shared" si="23"/>
        <v>1026761</v>
      </c>
      <c r="O29" s="11">
        <f t="shared" si="23"/>
        <v>1013571</v>
      </c>
      <c r="P29" s="11">
        <f t="shared" si="23"/>
        <v>1009298</v>
      </c>
      <c r="Q29" s="11">
        <f t="shared" si="23"/>
        <v>1011678</v>
      </c>
      <c r="R29" s="11">
        <f t="shared" si="23"/>
        <v>1011678</v>
      </c>
      <c r="S29" s="11">
        <f t="shared" si="23"/>
        <v>1056483</v>
      </c>
      <c r="T29" s="11">
        <f t="shared" si="23"/>
        <v>1236521</v>
      </c>
      <c r="U29" s="11">
        <f t="shared" si="23"/>
        <v>1209121</v>
      </c>
      <c r="V29" s="11">
        <f t="shared" si="23"/>
        <v>1177316</v>
      </c>
      <c r="W29" s="11">
        <f t="shared" si="23"/>
        <v>1177316</v>
      </c>
      <c r="X29" s="100">
        <f t="shared" si="23"/>
        <v>1176125</v>
      </c>
      <c r="Y29" s="100">
        <f t="shared" si="23"/>
        <v>1153682</v>
      </c>
      <c r="Z29" s="100">
        <f t="shared" si="23"/>
        <v>1143407</v>
      </c>
      <c r="AA29" s="11">
        <f>SUM(AA25:AA28)</f>
        <v>1276166.3168122424</v>
      </c>
      <c r="AB29" s="11">
        <f t="shared" ref="AB29:AE29" si="24">SUM(AB25:AB28)</f>
        <v>1344388.9160438972</v>
      </c>
      <c r="AC29" s="11">
        <f t="shared" si="24"/>
        <v>1409032.8716461251</v>
      </c>
      <c r="AD29" s="11">
        <f t="shared" si="24"/>
        <v>1440257.5685720469</v>
      </c>
      <c r="AE29" s="11">
        <f t="shared" si="24"/>
        <v>1472682.8213307583</v>
      </c>
      <c r="AF29" s="1"/>
      <c r="AG29" s="23"/>
      <c r="AH29" s="23"/>
    </row>
    <row r="30" spans="2:38" x14ac:dyDescent="0.15">
      <c r="B30" s="23" t="s">
        <v>104</v>
      </c>
      <c r="C30" s="11">
        <f>SUM(C29,C23)</f>
        <v>1331679</v>
      </c>
      <c r="D30" s="11">
        <f>SUM(D29,D23)</f>
        <v>1313599</v>
      </c>
      <c r="E30" s="11">
        <f t="shared" ref="E30:Z30" si="25">SUM(E29,E23)</f>
        <v>1285968</v>
      </c>
      <c r="F30" s="11">
        <f t="shared" si="25"/>
        <v>1227764</v>
      </c>
      <c r="G30" s="11">
        <f t="shared" si="25"/>
        <v>1254527</v>
      </c>
      <c r="H30" s="11">
        <f t="shared" si="1"/>
        <v>1254527</v>
      </c>
      <c r="I30" s="11">
        <f t="shared" si="25"/>
        <v>1209804</v>
      </c>
      <c r="J30" s="11">
        <f t="shared" si="25"/>
        <v>1209128</v>
      </c>
      <c r="K30" s="11">
        <f t="shared" si="25"/>
        <v>1181639</v>
      </c>
      <c r="L30" s="11">
        <f t="shared" si="25"/>
        <v>1193260</v>
      </c>
      <c r="M30" s="11">
        <f t="shared" si="2"/>
        <v>1193260</v>
      </c>
      <c r="N30" s="11">
        <f t="shared" si="25"/>
        <v>1116417</v>
      </c>
      <c r="O30" s="11">
        <f t="shared" si="25"/>
        <v>1116842</v>
      </c>
      <c r="P30" s="11">
        <f t="shared" si="25"/>
        <v>1105534</v>
      </c>
      <c r="Q30" s="11">
        <f t="shared" si="25"/>
        <v>1128769</v>
      </c>
      <c r="R30" s="11">
        <f t="shared" si="3"/>
        <v>1128769</v>
      </c>
      <c r="S30" s="11">
        <f t="shared" si="25"/>
        <v>1148700</v>
      </c>
      <c r="T30" s="11">
        <f t="shared" si="25"/>
        <v>1357429</v>
      </c>
      <c r="U30" s="11">
        <f t="shared" si="25"/>
        <v>1363660</v>
      </c>
      <c r="V30" s="11">
        <f t="shared" si="25"/>
        <v>1333639</v>
      </c>
      <c r="W30" s="11">
        <f t="shared" si="4"/>
        <v>1333639</v>
      </c>
      <c r="X30" s="100">
        <f t="shared" si="25"/>
        <v>1292467</v>
      </c>
      <c r="Y30" s="100">
        <f t="shared" si="25"/>
        <v>1270257</v>
      </c>
      <c r="Z30" s="100">
        <f t="shared" si="25"/>
        <v>1264035</v>
      </c>
      <c r="AA30" s="11">
        <f>AA29+AA23</f>
        <v>1447171.6189533595</v>
      </c>
      <c r="AB30" s="11">
        <f t="shared" ref="AB30:AE30" si="26">AB29+AB23</f>
        <v>1524563.9073037729</v>
      </c>
      <c r="AC30" s="11">
        <f t="shared" si="26"/>
        <v>1599255.4606157066</v>
      </c>
      <c r="AD30" s="11">
        <f t="shared" si="26"/>
        <v>1636545.7543494597</v>
      </c>
      <c r="AE30" s="11">
        <f t="shared" si="26"/>
        <v>1675409.3264752533</v>
      </c>
      <c r="AF30" s="1"/>
      <c r="AG30" s="23"/>
      <c r="AH30" s="23"/>
    </row>
    <row r="31" spans="2:38" x14ac:dyDescent="0.15">
      <c r="B31" s="19" t="s">
        <v>105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11"/>
      <c r="AB31" s="23"/>
      <c r="AC31" s="23"/>
      <c r="AD31" s="23"/>
      <c r="AE31" s="23"/>
      <c r="AF31" s="1"/>
      <c r="AG31" s="23"/>
      <c r="AH31" s="23"/>
    </row>
    <row r="32" spans="2:38" x14ac:dyDescent="0.15">
      <c r="B32" s="23" t="s">
        <v>111</v>
      </c>
      <c r="C32" s="99"/>
      <c r="D32" s="99"/>
      <c r="E32" s="99"/>
      <c r="F32" s="99"/>
      <c r="G32" s="99"/>
      <c r="H32" s="99">
        <f t="shared" si="1"/>
        <v>0</v>
      </c>
      <c r="I32" s="99"/>
      <c r="J32" s="99"/>
      <c r="K32" s="99"/>
      <c r="L32" s="99"/>
      <c r="M32" s="99">
        <f t="shared" si="2"/>
        <v>0</v>
      </c>
      <c r="N32" s="99"/>
      <c r="O32" s="99"/>
      <c r="P32" s="99"/>
      <c r="Q32" s="99"/>
      <c r="R32" s="99">
        <f t="shared" si="3"/>
        <v>0</v>
      </c>
      <c r="S32" s="99"/>
      <c r="T32" s="99"/>
      <c r="U32" s="99"/>
      <c r="V32" s="99"/>
      <c r="W32" s="99">
        <f t="shared" si="4"/>
        <v>0</v>
      </c>
      <c r="X32" s="99"/>
      <c r="Y32" s="99"/>
      <c r="Z32" s="99"/>
      <c r="AA32" s="11">
        <v>0</v>
      </c>
      <c r="AB32" s="23">
        <v>0</v>
      </c>
      <c r="AC32" s="23">
        <v>0</v>
      </c>
      <c r="AD32" s="23">
        <v>0</v>
      </c>
      <c r="AE32" s="23">
        <v>0</v>
      </c>
      <c r="AF32" s="1"/>
      <c r="AG32" s="23"/>
      <c r="AH32" s="23"/>
    </row>
    <row r="33" spans="2:37" x14ac:dyDescent="0.15">
      <c r="B33" s="23" t="s">
        <v>112</v>
      </c>
      <c r="C33" s="99">
        <v>8</v>
      </c>
      <c r="D33" s="99">
        <v>8</v>
      </c>
      <c r="E33" s="99">
        <v>8</v>
      </c>
      <c r="F33" s="99">
        <v>8</v>
      </c>
      <c r="G33" s="99">
        <v>8</v>
      </c>
      <c r="H33" s="99">
        <f t="shared" si="1"/>
        <v>8</v>
      </c>
      <c r="I33" s="99">
        <v>8</v>
      </c>
      <c r="J33" s="99">
        <f>(8*(1))*1</f>
        <v>8</v>
      </c>
      <c r="K33" s="99">
        <v>8</v>
      </c>
      <c r="L33" s="99">
        <v>8</v>
      </c>
      <c r="M33" s="99">
        <f t="shared" si="2"/>
        <v>8</v>
      </c>
      <c r="N33" s="99">
        <v>9</v>
      </c>
      <c r="O33" s="99">
        <v>9</v>
      </c>
      <c r="P33" s="99">
        <v>9</v>
      </c>
      <c r="Q33" s="99">
        <v>9</v>
      </c>
      <c r="R33" s="99">
        <f t="shared" si="3"/>
        <v>9</v>
      </c>
      <c r="S33" s="99">
        <v>9</v>
      </c>
      <c r="T33" s="99">
        <v>9</v>
      </c>
      <c r="U33" s="99">
        <v>9</v>
      </c>
      <c r="V33" s="99">
        <v>9</v>
      </c>
      <c r="W33" s="99">
        <f t="shared" si="4"/>
        <v>9</v>
      </c>
      <c r="X33" s="99">
        <v>9</v>
      </c>
      <c r="Y33" s="99">
        <v>9</v>
      </c>
      <c r="Z33" s="99">
        <v>9</v>
      </c>
      <c r="AA33" s="11">
        <f>W33</f>
        <v>9</v>
      </c>
      <c r="AB33" s="11">
        <f t="shared" ref="AB33:AE33" si="27">X33</f>
        <v>9</v>
      </c>
      <c r="AC33" s="11">
        <f t="shared" si="27"/>
        <v>9</v>
      </c>
      <c r="AD33" s="11">
        <f t="shared" si="27"/>
        <v>9</v>
      </c>
      <c r="AE33" s="11">
        <f t="shared" si="27"/>
        <v>9</v>
      </c>
      <c r="AF33" s="1"/>
      <c r="AG33" s="23"/>
      <c r="AH33" s="23"/>
    </row>
    <row r="34" spans="2:37" x14ac:dyDescent="0.15">
      <c r="B34" s="23" t="s">
        <v>106</v>
      </c>
      <c r="C34" s="99">
        <v>1158372</v>
      </c>
      <c r="D34" s="99">
        <v>1630529</v>
      </c>
      <c r="E34" s="99">
        <v>1648743</v>
      </c>
      <c r="F34" s="99">
        <v>1662965</v>
      </c>
      <c r="G34" s="99">
        <v>1676508</v>
      </c>
      <c r="H34" s="99">
        <f t="shared" si="1"/>
        <v>1676508</v>
      </c>
      <c r="I34" s="99">
        <v>1692835</v>
      </c>
      <c r="J34" s="99">
        <f>(1713122*(1))*1</f>
        <v>1713122</v>
      </c>
      <c r="K34" s="99">
        <v>1732985</v>
      </c>
      <c r="L34" s="99">
        <v>1745716</v>
      </c>
      <c r="M34" s="99">
        <f t="shared" si="2"/>
        <v>1745716</v>
      </c>
      <c r="N34" s="99">
        <v>1764573</v>
      </c>
      <c r="O34" s="99">
        <v>1785014</v>
      </c>
      <c r="P34" s="99">
        <v>1808695</v>
      </c>
      <c r="Q34" s="99">
        <v>1829384</v>
      </c>
      <c r="R34" s="99">
        <f t="shared" si="3"/>
        <v>1829384</v>
      </c>
      <c r="S34" s="99">
        <v>1863334</v>
      </c>
      <c r="T34" s="99">
        <v>1886765</v>
      </c>
      <c r="U34" s="99">
        <v>1893088</v>
      </c>
      <c r="V34" s="99">
        <v>1905628</v>
      </c>
      <c r="W34" s="99">
        <f t="shared" si="4"/>
        <v>1905628</v>
      </c>
      <c r="X34" s="99">
        <v>1905444</v>
      </c>
      <c r="Y34" s="99">
        <v>1919312</v>
      </c>
      <c r="Z34" s="99">
        <v>1917244</v>
      </c>
      <c r="AA34" s="114">
        <f>'Balance Sheet Build'!H54</f>
        <v>2001626.4571561485</v>
      </c>
      <c r="AB34" s="114">
        <f>'Balance Sheet Build'!I54</f>
        <v>2105783.4267407134</v>
      </c>
      <c r="AC34" s="114">
        <f>'Balance Sheet Build'!J54</f>
        <v>2218288.7034468809</v>
      </c>
      <c r="AD34" s="114">
        <f>'Balance Sheet Build'!K54</f>
        <v>2336916.6524566957</v>
      </c>
      <c r="AE34" s="114">
        <f>'Balance Sheet Build'!L54</f>
        <v>2462168.4569291957</v>
      </c>
      <c r="AF34" s="1"/>
      <c r="AG34" s="23"/>
      <c r="AH34" s="23"/>
    </row>
    <row r="35" spans="2:37" x14ac:dyDescent="0.15">
      <c r="B35" s="23" t="s">
        <v>113</v>
      </c>
      <c r="C35" s="99"/>
      <c r="D35" s="99"/>
      <c r="E35" s="99"/>
      <c r="F35" s="99"/>
      <c r="G35" s="99"/>
      <c r="H35" s="99">
        <f t="shared" si="1"/>
        <v>0</v>
      </c>
      <c r="I35" s="99"/>
      <c r="J35" s="99"/>
      <c r="K35" s="99"/>
      <c r="L35" s="99"/>
      <c r="M35" s="99">
        <f t="shared" si="2"/>
        <v>0</v>
      </c>
      <c r="N35" s="99"/>
      <c r="O35" s="99"/>
      <c r="P35" s="99"/>
      <c r="Q35" s="99"/>
      <c r="R35" s="99">
        <f t="shared" si="3"/>
        <v>0</v>
      </c>
      <c r="S35" s="99"/>
      <c r="T35" s="99"/>
      <c r="U35" s="99"/>
      <c r="V35" s="99"/>
      <c r="W35" s="99">
        <f t="shared" si="4"/>
        <v>0</v>
      </c>
      <c r="X35" s="99"/>
      <c r="Y35" s="99">
        <v>203</v>
      </c>
      <c r="Z35" s="99">
        <v>8837</v>
      </c>
      <c r="AA35" s="11">
        <v>0</v>
      </c>
      <c r="AB35" s="23">
        <f>AA35</f>
        <v>0</v>
      </c>
      <c r="AC35" s="23">
        <f t="shared" ref="AC35:AE35" si="28">AB35</f>
        <v>0</v>
      </c>
      <c r="AD35" s="23">
        <f t="shared" si="28"/>
        <v>0</v>
      </c>
      <c r="AE35" s="23">
        <f t="shared" si="28"/>
        <v>0</v>
      </c>
      <c r="AF35" s="1"/>
      <c r="AG35" s="23"/>
      <c r="AH35" s="23"/>
    </row>
    <row r="36" spans="2:37" x14ac:dyDescent="0.15">
      <c r="B36" s="23" t="s">
        <v>107</v>
      </c>
      <c r="C36" s="99">
        <v>220348</v>
      </c>
      <c r="D36" s="99">
        <v>217733</v>
      </c>
      <c r="E36" s="99">
        <v>213915</v>
      </c>
      <c r="F36" s="99">
        <v>208877</v>
      </c>
      <c r="G36" s="99">
        <v>176059</v>
      </c>
      <c r="H36" s="99">
        <f t="shared" si="1"/>
        <v>176059</v>
      </c>
      <c r="I36" s="99">
        <v>162420</v>
      </c>
      <c r="J36" s="99">
        <f>(151766*(1))*1</f>
        <v>151766</v>
      </c>
      <c r="K36" s="99">
        <v>150125</v>
      </c>
      <c r="L36" s="99">
        <v>149916</v>
      </c>
      <c r="M36" s="99">
        <f t="shared" si="2"/>
        <v>149916</v>
      </c>
      <c r="N36" s="99">
        <v>154010</v>
      </c>
      <c r="O36" s="99">
        <v>164591</v>
      </c>
      <c r="P36" s="99">
        <v>179264</v>
      </c>
      <c r="Q36" s="99">
        <v>205628</v>
      </c>
      <c r="R36" s="99">
        <f t="shared" si="3"/>
        <v>205628</v>
      </c>
      <c r="S36" s="99">
        <v>234441</v>
      </c>
      <c r="T36" s="99">
        <v>270263</v>
      </c>
      <c r="U36" s="99">
        <v>231590</v>
      </c>
      <c r="V36" s="99">
        <v>209274</v>
      </c>
      <c r="W36" s="99">
        <f t="shared" si="4"/>
        <v>209274</v>
      </c>
      <c r="X36" s="99">
        <v>218353</v>
      </c>
      <c r="Y36" s="99">
        <v>226897</v>
      </c>
      <c r="Z36" s="99">
        <v>207936</v>
      </c>
      <c r="AA36" s="114">
        <f>'Balance Sheet Build'!H61</f>
        <v>352943.76617502223</v>
      </c>
      <c r="AB36" s="114">
        <f>'Balance Sheet Build'!I61</f>
        <v>525248.29635015794</v>
      </c>
      <c r="AC36" s="114">
        <f>'Balance Sheet Build'!J61</f>
        <v>724137.51418797579</v>
      </c>
      <c r="AD36" s="114">
        <f>'Balance Sheet Build'!K61</f>
        <v>939045.05424613273</v>
      </c>
      <c r="AE36" s="114">
        <f>'Balance Sheet Build'!L61</f>
        <v>1171938.4073100472</v>
      </c>
      <c r="AF36" s="1"/>
      <c r="AG36" s="23"/>
      <c r="AH36" s="23"/>
    </row>
    <row r="37" spans="2:37" x14ac:dyDescent="0.15">
      <c r="B37" s="23" t="s">
        <v>108</v>
      </c>
      <c r="C37" s="11">
        <f>SUM(C33:C36)</f>
        <v>1378728</v>
      </c>
      <c r="D37" s="11">
        <f>SUM(D33:D36)</f>
        <v>1848270</v>
      </c>
      <c r="E37" s="11">
        <f t="shared" ref="E37:Z37" si="29">SUM(E33:E36)</f>
        <v>1862666</v>
      </c>
      <c r="F37" s="11">
        <f t="shared" si="29"/>
        <v>1871850</v>
      </c>
      <c r="G37" s="11">
        <f t="shared" si="29"/>
        <v>1852575</v>
      </c>
      <c r="H37" s="11">
        <f t="shared" si="1"/>
        <v>1852575</v>
      </c>
      <c r="I37" s="11">
        <f t="shared" si="29"/>
        <v>1855263</v>
      </c>
      <c r="J37" s="11">
        <f t="shared" si="29"/>
        <v>1864896</v>
      </c>
      <c r="K37" s="11">
        <f t="shared" si="29"/>
        <v>1883118</v>
      </c>
      <c r="L37" s="11">
        <f t="shared" si="29"/>
        <v>1895640</v>
      </c>
      <c r="M37" s="11">
        <f t="shared" si="2"/>
        <v>1895640</v>
      </c>
      <c r="N37" s="11">
        <f t="shared" si="29"/>
        <v>1918592</v>
      </c>
      <c r="O37" s="11">
        <f t="shared" si="29"/>
        <v>1949614</v>
      </c>
      <c r="P37" s="11">
        <f t="shared" si="29"/>
        <v>1987968</v>
      </c>
      <c r="Q37" s="11">
        <f t="shared" si="29"/>
        <v>2035021</v>
      </c>
      <c r="R37" s="11">
        <f t="shared" si="3"/>
        <v>2035021</v>
      </c>
      <c r="S37" s="11">
        <f t="shared" si="29"/>
        <v>2097784</v>
      </c>
      <c r="T37" s="11">
        <f t="shared" si="29"/>
        <v>2157037</v>
      </c>
      <c r="U37" s="11">
        <f t="shared" si="29"/>
        <v>2124687</v>
      </c>
      <c r="V37" s="11">
        <f t="shared" si="29"/>
        <v>2114911</v>
      </c>
      <c r="W37" s="11">
        <f t="shared" si="4"/>
        <v>2114911</v>
      </c>
      <c r="X37" s="100">
        <f t="shared" si="29"/>
        <v>2123806</v>
      </c>
      <c r="Y37" s="100">
        <f t="shared" si="29"/>
        <v>2146421</v>
      </c>
      <c r="Z37" s="100">
        <f t="shared" si="29"/>
        <v>2134026</v>
      </c>
      <c r="AA37" s="11">
        <f>SUM(AA32:AA36)</f>
        <v>2354579.2233311706</v>
      </c>
      <c r="AB37" s="11">
        <f t="shared" ref="AB37:AE37" si="30">SUM(AB32:AB36)</f>
        <v>2631040.7230908712</v>
      </c>
      <c r="AC37" s="11">
        <f t="shared" si="30"/>
        <v>2942435.2176348567</v>
      </c>
      <c r="AD37" s="11">
        <f t="shared" si="30"/>
        <v>3275970.7067028284</v>
      </c>
      <c r="AE37" s="11">
        <f t="shared" si="30"/>
        <v>3634115.8642392429</v>
      </c>
      <c r="AF37" s="1"/>
      <c r="AG37" s="23"/>
      <c r="AH37" s="23"/>
      <c r="AJ37" s="1"/>
      <c r="AK37" s="2"/>
    </row>
    <row r="38" spans="2:37" x14ac:dyDescent="0.15">
      <c r="B38" s="23" t="s">
        <v>109</v>
      </c>
      <c r="C38" s="11">
        <f>SUM(C37,C30)</f>
        <v>2710407</v>
      </c>
      <c r="D38" s="11">
        <f>SUM(D37,D30)</f>
        <v>3161869</v>
      </c>
      <c r="E38" s="11">
        <f t="shared" ref="E38:Z38" si="31">SUM(E37,E30)</f>
        <v>3148634</v>
      </c>
      <c r="F38" s="11">
        <f t="shared" si="31"/>
        <v>3099614</v>
      </c>
      <c r="G38" s="11">
        <f t="shared" si="31"/>
        <v>3107102</v>
      </c>
      <c r="H38" s="11">
        <f t="shared" si="1"/>
        <v>3107102</v>
      </c>
      <c r="I38" s="11">
        <f t="shared" si="31"/>
        <v>3065067</v>
      </c>
      <c r="J38" s="11">
        <f t="shared" si="31"/>
        <v>3074024</v>
      </c>
      <c r="K38" s="11">
        <f t="shared" si="31"/>
        <v>3064757</v>
      </c>
      <c r="L38" s="11">
        <f t="shared" si="31"/>
        <v>3088900</v>
      </c>
      <c r="M38" s="11">
        <f t="shared" si="2"/>
        <v>3088900</v>
      </c>
      <c r="N38" s="11">
        <f t="shared" si="31"/>
        <v>3035009</v>
      </c>
      <c r="O38" s="11">
        <f t="shared" si="31"/>
        <v>3066456</v>
      </c>
      <c r="P38" s="11">
        <f t="shared" si="31"/>
        <v>3093502</v>
      </c>
      <c r="Q38" s="11">
        <f t="shared" si="31"/>
        <v>3163790</v>
      </c>
      <c r="R38" s="11">
        <f t="shared" si="3"/>
        <v>3163790</v>
      </c>
      <c r="S38" s="11">
        <f t="shared" si="31"/>
        <v>3246484</v>
      </c>
      <c r="T38" s="11">
        <f t="shared" si="31"/>
        <v>3514466</v>
      </c>
      <c r="U38" s="11">
        <f t="shared" si="31"/>
        <v>3488347</v>
      </c>
      <c r="V38" s="11">
        <f t="shared" si="31"/>
        <v>3448550</v>
      </c>
      <c r="W38" s="11">
        <f t="shared" si="4"/>
        <v>3448550</v>
      </c>
      <c r="X38" s="100">
        <f t="shared" si="31"/>
        <v>3416273</v>
      </c>
      <c r="Y38" s="100">
        <f t="shared" si="31"/>
        <v>3416678</v>
      </c>
      <c r="Z38" s="100">
        <f t="shared" si="31"/>
        <v>3398061</v>
      </c>
      <c r="AA38" s="11">
        <f>AA37+AA30</f>
        <v>3801750.8422845304</v>
      </c>
      <c r="AB38" s="11">
        <f t="shared" ref="AB38:AE38" si="32">AB37+AB30</f>
        <v>4155604.6303946441</v>
      </c>
      <c r="AC38" s="11">
        <f t="shared" si="32"/>
        <v>4541690.6782505633</v>
      </c>
      <c r="AD38" s="11">
        <f t="shared" si="32"/>
        <v>4912516.4610522883</v>
      </c>
      <c r="AE38" s="11">
        <f t="shared" si="32"/>
        <v>5309525.1907144962</v>
      </c>
      <c r="AG38" s="23"/>
      <c r="AH38" s="23"/>
    </row>
    <row r="39" spans="2:37" x14ac:dyDescent="0.15">
      <c r="L39" s="1"/>
      <c r="M39" s="99"/>
      <c r="O39" s="1"/>
      <c r="Q39" s="105"/>
      <c r="R39" s="99"/>
      <c r="S39" s="1"/>
      <c r="T39" s="1"/>
      <c r="U39" s="1"/>
      <c r="W39" s="99"/>
      <c r="AC39" s="1"/>
      <c r="AD39" s="1"/>
      <c r="AE39" s="1"/>
      <c r="AF39" s="1"/>
      <c r="AG39" s="1"/>
    </row>
    <row r="40" spans="2:37" x14ac:dyDescent="0.15">
      <c r="B40" s="23" t="s">
        <v>115</v>
      </c>
      <c r="C40" s="11">
        <f>C38-C15</f>
        <v>0</v>
      </c>
      <c r="D40" s="11">
        <f t="shared" ref="D40:AE40" si="33">D38-D15</f>
        <v>0</v>
      </c>
      <c r="E40" s="11">
        <f t="shared" si="33"/>
        <v>0</v>
      </c>
      <c r="F40" s="11">
        <f t="shared" si="33"/>
        <v>0</v>
      </c>
      <c r="G40" s="11">
        <f t="shared" si="33"/>
        <v>0</v>
      </c>
      <c r="H40" s="11">
        <f t="shared" si="33"/>
        <v>0</v>
      </c>
      <c r="I40" s="11">
        <f t="shared" si="33"/>
        <v>0</v>
      </c>
      <c r="J40" s="11">
        <f t="shared" si="33"/>
        <v>0</v>
      </c>
      <c r="K40" s="11">
        <f t="shared" si="33"/>
        <v>0</v>
      </c>
      <c r="L40" s="11">
        <f t="shared" si="33"/>
        <v>0</v>
      </c>
      <c r="M40" s="11">
        <f t="shared" si="33"/>
        <v>0</v>
      </c>
      <c r="N40" s="11">
        <f t="shared" si="33"/>
        <v>0</v>
      </c>
      <c r="O40" s="11">
        <f t="shared" si="33"/>
        <v>0</v>
      </c>
      <c r="P40" s="11">
        <f t="shared" si="33"/>
        <v>0</v>
      </c>
      <c r="Q40" s="11">
        <f t="shared" si="33"/>
        <v>0</v>
      </c>
      <c r="R40" s="11">
        <f t="shared" si="33"/>
        <v>0</v>
      </c>
      <c r="S40" s="11">
        <f t="shared" si="33"/>
        <v>0</v>
      </c>
      <c r="T40" s="11">
        <f t="shared" si="33"/>
        <v>0</v>
      </c>
      <c r="U40" s="11">
        <f t="shared" si="33"/>
        <v>0</v>
      </c>
      <c r="V40" s="11">
        <f t="shared" si="33"/>
        <v>0</v>
      </c>
      <c r="W40" s="11">
        <f t="shared" si="33"/>
        <v>0</v>
      </c>
      <c r="X40" s="11">
        <f t="shared" si="33"/>
        <v>-32277</v>
      </c>
      <c r="Y40" s="11">
        <f t="shared" si="33"/>
        <v>-31872</v>
      </c>
      <c r="Z40" s="11">
        <f t="shared" si="33"/>
        <v>-50489</v>
      </c>
      <c r="AA40" s="11">
        <f>AA38-AA15</f>
        <v>0</v>
      </c>
      <c r="AB40" s="11">
        <f t="shared" si="33"/>
        <v>-2.7529895305633545E-6</v>
      </c>
      <c r="AC40" s="11">
        <f t="shared" si="33"/>
        <v>2.3656832054257393E-3</v>
      </c>
      <c r="AD40" s="11">
        <f t="shared" si="33"/>
        <v>0.48580322694033384</v>
      </c>
      <c r="AE40" s="11">
        <f t="shared" si="33"/>
        <v>0.47429684735834599</v>
      </c>
      <c r="AF40" s="11"/>
    </row>
    <row r="41" spans="2:37" x14ac:dyDescent="0.15"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AA41" s="24"/>
      <c r="AB41" s="1"/>
      <c r="AC41" s="1"/>
      <c r="AD41" s="1"/>
      <c r="AE41" s="1"/>
      <c r="AF41" s="1"/>
    </row>
    <row r="42" spans="2:37" x14ac:dyDescent="0.15">
      <c r="N42" s="1"/>
      <c r="O42" s="1"/>
      <c r="S42" s="105"/>
      <c r="T42" s="105"/>
      <c r="U42" s="1"/>
      <c r="V42" s="1"/>
      <c r="W42" s="1"/>
      <c r="X42" s="105"/>
    </row>
    <row r="43" spans="2:37" x14ac:dyDescent="0.15">
      <c r="N43" s="1"/>
      <c r="Q43" s="105"/>
      <c r="R43" s="105"/>
      <c r="S43" s="105"/>
    </row>
    <row r="44" spans="2:37" x14ac:dyDescent="0.15">
      <c r="O44" s="1"/>
      <c r="Q44" s="105"/>
      <c r="R44" s="105"/>
      <c r="S44" s="105"/>
      <c r="T44" s="1"/>
      <c r="U44" s="105"/>
    </row>
    <row r="45" spans="2:37" x14ac:dyDescent="0.15">
      <c r="O45" s="1"/>
      <c r="Q45" s="105"/>
      <c r="R45" s="105"/>
      <c r="S45" s="105"/>
      <c r="T45" s="1"/>
      <c r="U45" s="105"/>
    </row>
    <row r="46" spans="2:37" x14ac:dyDescent="0.15">
      <c r="O46" s="1"/>
      <c r="S46" s="105"/>
      <c r="T46" s="105"/>
      <c r="U46" s="1"/>
      <c r="V46" s="1"/>
      <c r="W46" s="1"/>
      <c r="X46" s="105"/>
    </row>
  </sheetData>
  <mergeCells count="2">
    <mergeCell ref="C1:W1"/>
    <mergeCell ref="AA1:A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CDE2-4E4A-274A-8127-D9903B0355CC}">
  <sheetPr codeName="Sheet2"/>
  <dimension ref="B1:AG41"/>
  <sheetViews>
    <sheetView showGridLines="0" workbookViewId="0">
      <selection activeCell="AC10" sqref="AC10"/>
    </sheetView>
  </sheetViews>
  <sheetFormatPr baseColWidth="10" defaultColWidth="11.5" defaultRowHeight="14" x14ac:dyDescent="0.15"/>
  <cols>
    <col min="1" max="1" width="2.6640625" style="4" customWidth="1"/>
    <col min="2" max="2" width="48.33203125" style="4" bestFit="1" customWidth="1"/>
    <col min="3" max="3" width="10.5" style="4" customWidth="1"/>
    <col min="4" max="7" width="9" style="4" hidden="1" customWidth="1"/>
    <col min="8" max="8" width="9" style="4" customWidth="1"/>
    <col min="9" max="12" width="9" style="4" hidden="1" customWidth="1"/>
    <col min="13" max="13" width="9" style="4" customWidth="1"/>
    <col min="14" max="17" width="9" style="4" hidden="1" customWidth="1"/>
    <col min="18" max="18" width="9" style="4" customWidth="1"/>
    <col min="19" max="22" width="9" style="4" hidden="1" customWidth="1"/>
    <col min="23" max="23" width="10.5" style="4" bestFit="1" customWidth="1"/>
    <col min="24" max="25" width="9" style="4" hidden="1" customWidth="1"/>
    <col min="26" max="26" width="0" style="4" hidden="1" customWidth="1"/>
    <col min="27" max="31" width="10.5" style="4" bestFit="1" customWidth="1"/>
    <col min="32" max="16384" width="11.5" style="4"/>
  </cols>
  <sheetData>
    <row r="1" spans="2:32" ht="16" customHeight="1" x14ac:dyDescent="0.15">
      <c r="B1" s="6" t="s">
        <v>59</v>
      </c>
      <c r="C1" s="319" t="s">
        <v>0</v>
      </c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6"/>
      <c r="Y1" s="6"/>
      <c r="Z1" s="6"/>
      <c r="AA1" s="319" t="s">
        <v>1</v>
      </c>
      <c r="AB1" s="319"/>
      <c r="AC1" s="319"/>
      <c r="AD1" s="319"/>
      <c r="AE1" s="319"/>
    </row>
    <row r="2" spans="2:32" x14ac:dyDescent="0.15">
      <c r="B2" s="6"/>
      <c r="C2" s="6" t="s">
        <v>127</v>
      </c>
      <c r="D2" s="7" t="s">
        <v>49</v>
      </c>
      <c r="E2" s="7" t="s">
        <v>50</v>
      </c>
      <c r="F2" s="7" t="s">
        <v>51</v>
      </c>
      <c r="G2" s="7" t="s">
        <v>52</v>
      </c>
      <c r="H2" s="7" t="s">
        <v>126</v>
      </c>
      <c r="I2" s="7" t="s">
        <v>41</v>
      </c>
      <c r="J2" s="7" t="s">
        <v>43</v>
      </c>
      <c r="K2" s="7" t="s">
        <v>42</v>
      </c>
      <c r="L2" s="7" t="s">
        <v>44</v>
      </c>
      <c r="M2" s="7" t="s">
        <v>118</v>
      </c>
      <c r="N2" s="8" t="s">
        <v>45</v>
      </c>
      <c r="O2" s="8" t="s">
        <v>46</v>
      </c>
      <c r="P2" s="8" t="s">
        <v>47</v>
      </c>
      <c r="Q2" s="8" t="s">
        <v>48</v>
      </c>
      <c r="R2" s="8" t="s">
        <v>119</v>
      </c>
      <c r="S2" s="8" t="s">
        <v>53</v>
      </c>
      <c r="T2" s="8" t="s">
        <v>54</v>
      </c>
      <c r="U2" s="8" t="s">
        <v>55</v>
      </c>
      <c r="V2" s="8" t="s">
        <v>56</v>
      </c>
      <c r="W2" s="8" t="s">
        <v>120</v>
      </c>
      <c r="X2" s="8" t="s">
        <v>120</v>
      </c>
      <c r="Y2" s="8" t="s">
        <v>120</v>
      </c>
      <c r="Z2" s="8" t="s">
        <v>120</v>
      </c>
      <c r="AA2" s="107">
        <v>2025</v>
      </c>
      <c r="AB2" s="107">
        <f>AA2+1</f>
        <v>2026</v>
      </c>
      <c r="AC2" s="107">
        <f t="shared" ref="AC2:AE2" si="0">AB2+1</f>
        <v>2027</v>
      </c>
      <c r="AD2" s="107">
        <f t="shared" si="0"/>
        <v>2028</v>
      </c>
      <c r="AE2" s="107">
        <f t="shared" si="0"/>
        <v>2029</v>
      </c>
    </row>
    <row r="3" spans="2:32" ht="15" thickBot="1" x14ac:dyDescent="0.2">
      <c r="E3" s="16"/>
      <c r="F3" s="16"/>
      <c r="G3" s="16"/>
      <c r="H3" s="16"/>
      <c r="I3" s="16"/>
      <c r="AF3" s="178"/>
    </row>
    <row r="4" spans="2:32" x14ac:dyDescent="0.15">
      <c r="B4" s="261" t="s">
        <v>60</v>
      </c>
      <c r="C4" s="262"/>
      <c r="D4" s="263"/>
      <c r="E4" s="264"/>
      <c r="F4" s="264"/>
      <c r="G4" s="264"/>
      <c r="H4" s="264"/>
      <c r="I4" s="264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5"/>
      <c r="AF4" s="178"/>
    </row>
    <row r="5" spans="2:32" x14ac:dyDescent="0.15">
      <c r="B5" s="251" t="s">
        <v>20</v>
      </c>
      <c r="C5" s="114">
        <f>'quarterly IS'!C11</f>
        <v>280214</v>
      </c>
      <c r="D5" s="114">
        <f>'quarterly IS'!D11</f>
        <v>70632</v>
      </c>
      <c r="E5" s="114">
        <f>'quarterly IS'!E11</f>
        <v>67334</v>
      </c>
      <c r="F5" s="114">
        <f>'quarterly IS'!F11</f>
        <v>66217</v>
      </c>
      <c r="G5" s="114">
        <f>'quarterly IS'!G11</f>
        <v>86119</v>
      </c>
      <c r="H5" s="114">
        <f>'quarterly IS'!H11</f>
        <v>290302</v>
      </c>
      <c r="I5" s="114">
        <f>'quarterly IS'!I11</f>
        <v>80874</v>
      </c>
      <c r="J5" s="114">
        <f>'quarterly IS'!J11</f>
        <v>74914</v>
      </c>
      <c r="K5" s="114">
        <f>'quarterly IS'!K11</f>
        <v>76493</v>
      </c>
      <c r="L5" s="114">
        <f>'quarterly IS'!L11</f>
        <v>86235</v>
      </c>
      <c r="M5" s="114">
        <f>'quarterly IS'!M11</f>
        <v>318516</v>
      </c>
      <c r="N5" s="114">
        <f>'quarterly IS'!N11</f>
        <v>80873</v>
      </c>
      <c r="O5" s="114">
        <f>'quarterly IS'!O11</f>
        <v>76904</v>
      </c>
      <c r="P5" s="114">
        <f>'quarterly IS'!P11</f>
        <v>75721</v>
      </c>
      <c r="Q5" s="114">
        <f>'quarterly IS'!Q11</f>
        <v>83859</v>
      </c>
      <c r="R5" s="114">
        <f>'quarterly IS'!R11</f>
        <v>317357</v>
      </c>
      <c r="S5" s="114">
        <f>'quarterly IS'!S11</f>
        <v>82347</v>
      </c>
      <c r="T5" s="114">
        <f>'quarterly IS'!T11</f>
        <v>76915</v>
      </c>
      <c r="U5" s="114">
        <f>'quarterly IS'!U11</f>
        <v>86860</v>
      </c>
      <c r="V5" s="114">
        <f>'quarterly IS'!V11</f>
        <v>105466</v>
      </c>
      <c r="W5" s="114">
        <f>'quarterly IS'!W11</f>
        <v>351588</v>
      </c>
      <c r="X5" s="11">
        <f>'quarterly IS'!X11</f>
        <v>88005</v>
      </c>
      <c r="Y5" s="11">
        <f>'quarterly IS'!Y11</f>
        <v>75156</v>
      </c>
      <c r="Z5" s="11">
        <f>'quarterly IS'!Z11</f>
        <v>76889</v>
      </c>
      <c r="AA5" s="246">
        <f>AA27*'annual IS'!H5</f>
        <v>353773.7437055289</v>
      </c>
      <c r="AB5" s="246">
        <f>AB27*'annual IS'!I5</f>
        <v>369088.01601600694</v>
      </c>
      <c r="AC5" s="246">
        <f>AC27*'annual IS'!J5</f>
        <v>386377.50687601202</v>
      </c>
      <c r="AD5" s="246">
        <f>AD27*'annual IS'!K5</f>
        <v>404985.21029355819</v>
      </c>
      <c r="AE5" s="252">
        <f>AE27*'annual IS'!L5</f>
        <v>425264.56853131077</v>
      </c>
      <c r="AF5" s="178"/>
    </row>
    <row r="6" spans="2:32" x14ac:dyDescent="0.15">
      <c r="B6" s="251" t="s">
        <v>21</v>
      </c>
      <c r="C6" s="114">
        <f>'quarterly IS'!C12</f>
        <v>19574</v>
      </c>
      <c r="D6" s="114">
        <f>'quarterly IS'!D12</f>
        <v>5009</v>
      </c>
      <c r="E6" s="114">
        <f>'quarterly IS'!E12</f>
        <v>4824</v>
      </c>
      <c r="F6" s="114">
        <f>'quarterly IS'!F12</f>
        <v>5734</v>
      </c>
      <c r="G6" s="114">
        <f>'quarterly IS'!G12</f>
        <v>6300</v>
      </c>
      <c r="H6" s="114">
        <f>'quarterly IS'!H12</f>
        <v>21867</v>
      </c>
      <c r="I6" s="114">
        <f>'quarterly IS'!I12</f>
        <v>6641</v>
      </c>
      <c r="J6" s="114">
        <f>'quarterly IS'!J12</f>
        <v>7090</v>
      </c>
      <c r="K6" s="114">
        <f>'quarterly IS'!K12</f>
        <v>6812</v>
      </c>
      <c r="L6" s="114">
        <f>'quarterly IS'!L12</f>
        <v>5558</v>
      </c>
      <c r="M6" s="114">
        <f>'quarterly IS'!M12</f>
        <v>26101</v>
      </c>
      <c r="N6" s="114">
        <f>'quarterly IS'!N12</f>
        <v>8038</v>
      </c>
      <c r="O6" s="114">
        <f>'quarterly IS'!O12</f>
        <v>8037</v>
      </c>
      <c r="P6" s="114">
        <f>'quarterly IS'!P12</f>
        <v>8029</v>
      </c>
      <c r="Q6" s="114">
        <f>'quarterly IS'!Q12</f>
        <v>8398</v>
      </c>
      <c r="R6" s="114">
        <f>'quarterly IS'!R12</f>
        <v>32502</v>
      </c>
      <c r="S6" s="114">
        <f>'quarterly IS'!S12</f>
        <v>9057</v>
      </c>
      <c r="T6" s="114">
        <f>'quarterly IS'!T12</f>
        <v>10108</v>
      </c>
      <c r="U6" s="114">
        <f>'quarterly IS'!U12</f>
        <v>10241</v>
      </c>
      <c r="V6" s="114">
        <f>'quarterly IS'!V12</f>
        <v>10269</v>
      </c>
      <c r="W6" s="114">
        <f>'quarterly IS'!W12</f>
        <v>39675</v>
      </c>
      <c r="X6" s="11">
        <f>'quarterly IS'!X12</f>
        <v>10747</v>
      </c>
      <c r="Y6" s="11">
        <f>'quarterly IS'!Y12</f>
        <v>11137</v>
      </c>
      <c r="Z6" s="11">
        <f>'quarterly IS'!Z12</f>
        <v>10879</v>
      </c>
      <c r="AA6" s="246">
        <f>AA28*'annual IS'!H6</f>
        <v>48163.240021919817</v>
      </c>
      <c r="AB6" s="246">
        <f>AB28*'annual IS'!I6</f>
        <v>50872.582195281684</v>
      </c>
      <c r="AC6" s="246">
        <f>AC28*'annual IS'!J6</f>
        <v>52628.82248484045</v>
      </c>
      <c r="AD6" s="246">
        <f>AD28*'annual IS'!K6</f>
        <v>51576.478966798873</v>
      </c>
      <c r="AE6" s="252">
        <f>AE28*'annual IS'!L6</f>
        <v>50189.213206552085</v>
      </c>
      <c r="AF6" s="178"/>
    </row>
    <row r="7" spans="2:32" x14ac:dyDescent="0.15">
      <c r="B7" s="251" t="s">
        <v>22</v>
      </c>
      <c r="C7" s="114">
        <f>'quarterly IS'!C13</f>
        <v>18448</v>
      </c>
      <c r="D7" s="114">
        <f>'quarterly IS'!D13</f>
        <v>5445</v>
      </c>
      <c r="E7" s="114">
        <f>'quarterly IS'!E13</f>
        <v>4974</v>
      </c>
      <c r="F7" s="114">
        <f>'quarterly IS'!F13</f>
        <v>4683</v>
      </c>
      <c r="G7" s="114">
        <f>'quarterly IS'!G13</f>
        <v>5579</v>
      </c>
      <c r="H7" s="114">
        <f>'quarterly IS'!H13</f>
        <v>20681</v>
      </c>
      <c r="I7" s="114">
        <f>'quarterly IS'!I13</f>
        <v>6991</v>
      </c>
      <c r="J7" s="114">
        <f>'quarterly IS'!J13</f>
        <v>6326</v>
      </c>
      <c r="K7" s="114">
        <f>'quarterly IS'!K13</f>
        <v>5923</v>
      </c>
      <c r="L7" s="114">
        <f>'quarterly IS'!L13</f>
        <v>5956</v>
      </c>
      <c r="M7" s="114">
        <f>'quarterly IS'!M13</f>
        <v>25196</v>
      </c>
      <c r="N7" s="114">
        <f>'quarterly IS'!N13</f>
        <v>7051</v>
      </c>
      <c r="O7" s="114">
        <f>'quarterly IS'!O13</f>
        <v>6943</v>
      </c>
      <c r="P7" s="114">
        <f>'quarterly IS'!P13</f>
        <v>6287</v>
      </c>
      <c r="Q7" s="114">
        <f>'quarterly IS'!Q13</f>
        <v>6810</v>
      </c>
      <c r="R7" s="114">
        <f>'quarterly IS'!R13</f>
        <v>27091</v>
      </c>
      <c r="S7" s="114">
        <f>'quarterly IS'!S13</f>
        <v>9055</v>
      </c>
      <c r="T7" s="114">
        <f>'quarterly IS'!T13</f>
        <v>8853</v>
      </c>
      <c r="U7" s="114">
        <f>'quarterly IS'!U13</f>
        <v>6305</v>
      </c>
      <c r="V7" s="114">
        <f>'quarterly IS'!V13</f>
        <v>7039</v>
      </c>
      <c r="W7" s="114">
        <f>'quarterly IS'!W13</f>
        <v>31252</v>
      </c>
      <c r="X7" s="11">
        <f>'quarterly IS'!X13</f>
        <v>7781</v>
      </c>
      <c r="Y7" s="11">
        <f>'quarterly IS'!Y13</f>
        <v>6947</v>
      </c>
      <c r="Z7" s="11">
        <f>'quarterly IS'!Z13</f>
        <v>6333</v>
      </c>
      <c r="AA7" s="246">
        <f>AA29*'annual IS'!H7</f>
        <v>31520.694952905917</v>
      </c>
      <c r="AB7" s="246">
        <f>AB29*'annual IS'!I7</f>
        <v>33342.741175256575</v>
      </c>
      <c r="AC7" s="246">
        <f>AC29*'annual IS'!J7</f>
        <v>35395.972819736322</v>
      </c>
      <c r="AD7" s="246">
        <f>AD29*'annual IS'!K7</f>
        <v>37628.695828796335</v>
      </c>
      <c r="AE7" s="252">
        <f>AE29*'annual IS'!L7</f>
        <v>40081.358945682776</v>
      </c>
      <c r="AF7" s="178"/>
    </row>
    <row r="8" spans="2:32" ht="15" thickBot="1" x14ac:dyDescent="0.2">
      <c r="B8" s="253" t="s">
        <v>23</v>
      </c>
      <c r="C8" s="254">
        <f>SUM(C5:C7)</f>
        <v>318236</v>
      </c>
      <c r="D8" s="254">
        <f>SUM(D5:D7)</f>
        <v>81086</v>
      </c>
      <c r="E8" s="254">
        <f t="shared" ref="E8:V8" si="1">SUM(E5:E7)</f>
        <v>77132</v>
      </c>
      <c r="F8" s="254">
        <f t="shared" si="1"/>
        <v>76634</v>
      </c>
      <c r="G8" s="254">
        <f t="shared" si="1"/>
        <v>97998</v>
      </c>
      <c r="H8" s="254">
        <f>SUM(H5:H7)</f>
        <v>332850</v>
      </c>
      <c r="I8" s="254">
        <f t="shared" si="1"/>
        <v>94506</v>
      </c>
      <c r="J8" s="254">
        <f t="shared" si="1"/>
        <v>88330</v>
      </c>
      <c r="K8" s="254">
        <f t="shared" si="1"/>
        <v>89228</v>
      </c>
      <c r="L8" s="254">
        <f t="shared" si="1"/>
        <v>97749</v>
      </c>
      <c r="M8" s="254">
        <f>SUM(M5:M7)</f>
        <v>369813</v>
      </c>
      <c r="N8" s="254">
        <f t="shared" si="1"/>
        <v>95962</v>
      </c>
      <c r="O8" s="254">
        <f t="shared" si="1"/>
        <v>91884</v>
      </c>
      <c r="P8" s="254">
        <f t="shared" si="1"/>
        <v>90037</v>
      </c>
      <c r="Q8" s="254">
        <f t="shared" si="1"/>
        <v>99067</v>
      </c>
      <c r="R8" s="254">
        <f>SUM(R5:R7)</f>
        <v>376950</v>
      </c>
      <c r="S8" s="254">
        <f t="shared" si="1"/>
        <v>100459</v>
      </c>
      <c r="T8" s="254">
        <f t="shared" si="1"/>
        <v>95876</v>
      </c>
      <c r="U8" s="254">
        <f t="shared" si="1"/>
        <v>103406</v>
      </c>
      <c r="V8" s="254">
        <f t="shared" si="1"/>
        <v>122774</v>
      </c>
      <c r="W8" s="254">
        <f>SUM(W5:W7)</f>
        <v>422515</v>
      </c>
      <c r="X8" s="254">
        <f t="shared" ref="X8:AE8" si="2">SUM(X5:X7)</f>
        <v>106533</v>
      </c>
      <c r="Y8" s="254">
        <f t="shared" si="2"/>
        <v>93240</v>
      </c>
      <c r="Z8" s="254">
        <f t="shared" si="2"/>
        <v>94101</v>
      </c>
      <c r="AA8" s="254">
        <f t="shared" si="2"/>
        <v>433457.67868035467</v>
      </c>
      <c r="AB8" s="254">
        <f t="shared" si="2"/>
        <v>453303.33938654518</v>
      </c>
      <c r="AC8" s="254">
        <f t="shared" si="2"/>
        <v>474402.30218058883</v>
      </c>
      <c r="AD8" s="254">
        <f t="shared" si="2"/>
        <v>494190.38508915342</v>
      </c>
      <c r="AE8" s="266">
        <f t="shared" si="2"/>
        <v>515535.14068354561</v>
      </c>
      <c r="AF8" s="178"/>
    </row>
    <row r="9" spans="2:32" ht="15" thickBot="1" x14ac:dyDescent="0.2">
      <c r="B9" s="11"/>
      <c r="C9" s="11"/>
      <c r="H9" s="11"/>
      <c r="M9" s="11"/>
      <c r="R9" s="11"/>
      <c r="W9" s="11"/>
      <c r="AA9" s="179"/>
      <c r="AB9" s="179"/>
      <c r="AC9" s="179"/>
      <c r="AD9" s="179"/>
      <c r="AE9" s="179"/>
      <c r="AF9" s="178"/>
    </row>
    <row r="10" spans="2:32" x14ac:dyDescent="0.15">
      <c r="B10" s="247" t="s">
        <v>24</v>
      </c>
      <c r="C10" s="248">
        <f>'quarterly IS'!C19</f>
        <v>49964</v>
      </c>
      <c r="D10" s="248">
        <f>'quarterly IS'!D19</f>
        <v>14086</v>
      </c>
      <c r="E10" s="248">
        <f>'quarterly IS'!E19</f>
        <v>15476</v>
      </c>
      <c r="F10" s="248">
        <f>'quarterly IS'!F19</f>
        <v>12726</v>
      </c>
      <c r="G10" s="248">
        <f>'quarterly IS'!G19</f>
        <v>16317</v>
      </c>
      <c r="H10" s="248">
        <f>'quarterly IS'!H19</f>
        <v>58605</v>
      </c>
      <c r="I10" s="248">
        <f>'quarterly IS'!I19</f>
        <v>16560</v>
      </c>
      <c r="J10" s="248">
        <f>'quarterly IS'!J19</f>
        <v>15843</v>
      </c>
      <c r="K10" s="248">
        <f>'quarterly IS'!K19</f>
        <v>17245</v>
      </c>
      <c r="L10" s="248">
        <f>'quarterly IS'!L19</f>
        <v>19201</v>
      </c>
      <c r="M10" s="248">
        <f>'quarterly IS'!M19</f>
        <v>68849</v>
      </c>
      <c r="N10" s="248">
        <f>'quarterly IS'!N19</f>
        <v>19935</v>
      </c>
      <c r="O10" s="248">
        <f>'quarterly IS'!O19</f>
        <v>19123</v>
      </c>
      <c r="P10" s="248">
        <f>'quarterly IS'!P19</f>
        <v>19656</v>
      </c>
      <c r="Q10" s="248">
        <f>'quarterly IS'!Q19</f>
        <v>20559</v>
      </c>
      <c r="R10" s="248">
        <f>'quarterly IS'!R19</f>
        <v>79273</v>
      </c>
      <c r="S10" s="248">
        <f>'quarterly IS'!S19</f>
        <v>23494</v>
      </c>
      <c r="T10" s="248">
        <f>'quarterly IS'!T19</f>
        <v>21525</v>
      </c>
      <c r="U10" s="248">
        <f>'quarterly IS'!U19</f>
        <v>22636</v>
      </c>
      <c r="V10" s="248">
        <f>'quarterly IS'!V19</f>
        <v>23084</v>
      </c>
      <c r="W10" s="248">
        <f>'quarterly IS'!W19</f>
        <v>90739</v>
      </c>
      <c r="X10" s="248">
        <f>'quarterly IS'!X19</f>
        <v>25984</v>
      </c>
      <c r="Y10" s="248">
        <f>'quarterly IS'!Y19</f>
        <v>19922</v>
      </c>
      <c r="Z10" s="248">
        <f>'quarterly IS'!Z19</f>
        <v>24411</v>
      </c>
      <c r="AA10" s="249">
        <f>AA32*'annual IS'!$H$8</f>
        <v>101899.8401342821</v>
      </c>
      <c r="AB10" s="249">
        <f>AB32*'annual IS'!$I$8</f>
        <v>110562.19014702112</v>
      </c>
      <c r="AC10" s="249">
        <f>AC32*'annual IS'!$J$8</f>
        <v>119423.88344575866</v>
      </c>
      <c r="AD10" s="249">
        <f>AD32*'annual IS'!$K$8</f>
        <v>125923.07463904824</v>
      </c>
      <c r="AE10" s="250">
        <f>AE32*'annual IS'!$L$8</f>
        <v>132954.2696718224</v>
      </c>
      <c r="AF10" s="178"/>
    </row>
    <row r="11" spans="2:32" x14ac:dyDescent="0.15">
      <c r="B11" s="251" t="s">
        <v>25</v>
      </c>
      <c r="C11" s="114">
        <f>'quarterly IS'!C20</f>
        <v>124809</v>
      </c>
      <c r="D11" s="114">
        <f>'quarterly IS'!D20</f>
        <v>35469</v>
      </c>
      <c r="E11" s="114">
        <f>'quarterly IS'!E20</f>
        <v>37898</v>
      </c>
      <c r="F11" s="114">
        <f>'quarterly IS'!F20</f>
        <v>38070</v>
      </c>
      <c r="G11" s="114">
        <f>'quarterly IS'!G20</f>
        <v>45927</v>
      </c>
      <c r="H11" s="114">
        <f>'quarterly IS'!H20</f>
        <v>157364</v>
      </c>
      <c r="I11" s="114">
        <f>'quarterly IS'!I20</f>
        <v>45183</v>
      </c>
      <c r="J11" s="114">
        <f>'quarterly IS'!J20</f>
        <v>46580</v>
      </c>
      <c r="K11" s="114">
        <f>'quarterly IS'!K20</f>
        <v>48890</v>
      </c>
      <c r="L11" s="114">
        <f>'quarterly IS'!L20</f>
        <v>52722</v>
      </c>
      <c r="M11" s="114">
        <f>'quarterly IS'!M20</f>
        <v>193375</v>
      </c>
      <c r="N11" s="114">
        <f>'quarterly IS'!N20</f>
        <v>53192</v>
      </c>
      <c r="O11" s="114">
        <f>'quarterly IS'!O20</f>
        <v>54767</v>
      </c>
      <c r="P11" s="114">
        <f>'quarterly IS'!P20</f>
        <v>55614</v>
      </c>
      <c r="Q11" s="114">
        <f>'quarterly IS'!Q20</f>
        <v>55238</v>
      </c>
      <c r="R11" s="114">
        <f>'quarterly IS'!R20</f>
        <v>218811</v>
      </c>
      <c r="S11" s="114">
        <f>'quarterly IS'!S20</f>
        <v>56090</v>
      </c>
      <c r="T11" s="114">
        <f>'quarterly IS'!T20</f>
        <v>58580</v>
      </c>
      <c r="U11" s="114">
        <f>'quarterly IS'!U20</f>
        <v>60189</v>
      </c>
      <c r="V11" s="114">
        <f>'quarterly IS'!V20</f>
        <v>64654</v>
      </c>
      <c r="W11" s="114">
        <f>'quarterly IS'!W20</f>
        <v>239513</v>
      </c>
      <c r="X11" s="114">
        <f>'quarterly IS'!X20</f>
        <v>61436</v>
      </c>
      <c r="Y11" s="114">
        <f>'quarterly IS'!Y20</f>
        <v>64804</v>
      </c>
      <c r="Z11" s="114">
        <f>'quarterly IS'!Z20</f>
        <v>65916</v>
      </c>
      <c r="AA11" s="246">
        <f>AA33*'annual IS'!$H$8</f>
        <v>273517.10202039644</v>
      </c>
      <c r="AB11" s="246">
        <f>AB33*'annual IS'!$I$8</f>
        <v>296768.37375005259</v>
      </c>
      <c r="AC11" s="246">
        <f>AC33*'annual IS'!$J$8</f>
        <v>320554.71793734655</v>
      </c>
      <c r="AD11" s="246">
        <f>AD33*'annual IS'!$K$8</f>
        <v>337999.69074910466</v>
      </c>
      <c r="AE11" s="252">
        <f>AE33*'annual IS'!$L$8</f>
        <v>356872.65548163309</v>
      </c>
      <c r="AF11" s="178"/>
    </row>
    <row r="12" spans="2:32" x14ac:dyDescent="0.15">
      <c r="B12" s="257" t="s">
        <v>26</v>
      </c>
      <c r="C12" s="114">
        <f>'quarterly IS'!C21</f>
        <v>84493</v>
      </c>
      <c r="D12" s="114">
        <f>'quarterly IS'!D21</f>
        <v>20687</v>
      </c>
      <c r="E12" s="114">
        <f>'quarterly IS'!E21</f>
        <v>22812</v>
      </c>
      <c r="F12" s="114">
        <f>'quarterly IS'!F21</f>
        <v>20004</v>
      </c>
      <c r="G12" s="114">
        <f>'quarterly IS'!G21</f>
        <v>20876</v>
      </c>
      <c r="H12" s="114">
        <f>'quarterly IS'!H21</f>
        <v>84379</v>
      </c>
      <c r="I12" s="114">
        <f>'quarterly IS'!I21</f>
        <v>23727</v>
      </c>
      <c r="J12" s="114">
        <f>'quarterly IS'!J21</f>
        <v>25937</v>
      </c>
      <c r="K12" s="114">
        <f>'quarterly IS'!K21</f>
        <v>25131</v>
      </c>
      <c r="L12" s="114">
        <f>'quarterly IS'!L21</f>
        <v>22677</v>
      </c>
      <c r="M12" s="114">
        <f>'quarterly IS'!M21</f>
        <v>97472</v>
      </c>
      <c r="N12" s="114">
        <f>'quarterly IS'!N21</f>
        <v>25538</v>
      </c>
      <c r="O12" s="114">
        <f>'quarterly IS'!O21</f>
        <v>27825</v>
      </c>
      <c r="P12" s="114">
        <f>'quarterly IS'!P21</f>
        <v>27153</v>
      </c>
      <c r="Q12" s="114">
        <f>'quarterly IS'!Q21</f>
        <v>23140</v>
      </c>
      <c r="R12" s="114">
        <f>'quarterly IS'!R21</f>
        <v>103656</v>
      </c>
      <c r="S12" s="114">
        <f>'quarterly IS'!S21</f>
        <v>38236</v>
      </c>
      <c r="T12" s="114">
        <f>'quarterly IS'!T21</f>
        <v>32260</v>
      </c>
      <c r="U12" s="114">
        <f>'quarterly IS'!U21</f>
        <v>31789</v>
      </c>
      <c r="V12" s="114">
        <f>'quarterly IS'!V21</f>
        <v>29975</v>
      </c>
      <c r="W12" s="114">
        <f>'quarterly IS'!W21</f>
        <v>132260</v>
      </c>
      <c r="X12" s="114">
        <f>'quarterly IS'!X21</f>
        <v>25536</v>
      </c>
      <c r="Y12" s="114">
        <f>'quarterly IS'!Y21</f>
        <v>29990</v>
      </c>
      <c r="Z12" s="114">
        <f>'quarterly IS'!Z21</f>
        <v>30880</v>
      </c>
      <c r="AA12" s="246">
        <f>AA34*'annual IS'!$H$8</f>
        <v>148336.32072101362</v>
      </c>
      <c r="AB12" s="246">
        <f>AB34*'annual IS'!$I$8</f>
        <v>160946.16513287975</v>
      </c>
      <c r="AC12" s="246">
        <f>AC34*'annual IS'!$J$8</f>
        <v>173846.1949814109</v>
      </c>
      <c r="AD12" s="246">
        <f>AD34*'annual IS'!$K$8</f>
        <v>183307.1137424664</v>
      </c>
      <c r="AE12" s="252">
        <f>AE34*'annual IS'!$L$8</f>
        <v>193542.47426961898</v>
      </c>
      <c r="AF12" s="178"/>
    </row>
    <row r="13" spans="2:32" x14ac:dyDescent="0.15">
      <c r="B13" s="251" t="s">
        <v>28</v>
      </c>
      <c r="C13" s="114">
        <f>'quarterly IS'!C22</f>
        <v>76064</v>
      </c>
      <c r="D13" s="114">
        <f>'quarterly IS'!D22</f>
        <v>19814</v>
      </c>
      <c r="E13" s="114">
        <f>'quarterly IS'!E22</f>
        <v>20289</v>
      </c>
      <c r="F13" s="114">
        <f>'quarterly IS'!F22</f>
        <v>19642</v>
      </c>
      <c r="G13" s="114">
        <f>'quarterly IS'!G22</f>
        <v>23046</v>
      </c>
      <c r="H13" s="114">
        <f>'quarterly IS'!H22</f>
        <v>82791</v>
      </c>
      <c r="I13" s="114">
        <f>'quarterly IS'!I22</f>
        <v>23698</v>
      </c>
      <c r="J13" s="114">
        <f>'quarterly IS'!J22</f>
        <v>24181</v>
      </c>
      <c r="K13" s="114">
        <f>'quarterly IS'!K22</f>
        <v>23541</v>
      </c>
      <c r="L13" s="114">
        <f>'quarterly IS'!L22</f>
        <v>23166</v>
      </c>
      <c r="M13" s="114">
        <f>'quarterly IS'!M22</f>
        <v>94586</v>
      </c>
      <c r="N13" s="114">
        <f>'quarterly IS'!N22</f>
        <v>23166</v>
      </c>
      <c r="O13" s="114">
        <f>'quarterly IS'!O22</f>
        <v>23166</v>
      </c>
      <c r="P13" s="114">
        <f>'quarterly IS'!P22</f>
        <v>23213</v>
      </c>
      <c r="Q13" s="114">
        <f>'quarterly IS'!Q22</f>
        <v>23218</v>
      </c>
      <c r="R13" s="114">
        <f>'quarterly IS'!R22</f>
        <v>92763</v>
      </c>
      <c r="S13" s="114">
        <f>'quarterly IS'!S22</f>
        <v>25545</v>
      </c>
      <c r="T13" s="114">
        <f>'quarterly IS'!T22</f>
        <v>30981</v>
      </c>
      <c r="U13" s="114">
        <f>'quarterly IS'!U22</f>
        <v>28350</v>
      </c>
      <c r="V13" s="114">
        <f>'quarterly IS'!V22</f>
        <v>27002</v>
      </c>
      <c r="W13" s="114">
        <f>'quarterly IS'!W22</f>
        <v>111878</v>
      </c>
      <c r="X13" s="114">
        <f>'quarterly IS'!X22</f>
        <v>27002</v>
      </c>
      <c r="Y13" s="114">
        <f>'quarterly IS'!Y22</f>
        <v>27001</v>
      </c>
      <c r="Z13" s="114">
        <f>'quarterly IS'!Z22</f>
        <v>27002</v>
      </c>
      <c r="AA13" s="246">
        <f>AA35*'annual IS'!$H$8</f>
        <v>136329.17653740724</v>
      </c>
      <c r="AB13" s="246">
        <f>AB35*'annual IS'!$I$8</f>
        <v>147918.31193309868</v>
      </c>
      <c r="AC13" s="246">
        <f>AC35*'annual IS'!$J$8</f>
        <v>159774.14358653332</v>
      </c>
      <c r="AD13" s="246">
        <f>AD35*'annual IS'!$K$8</f>
        <v>168469.24440683625</v>
      </c>
      <c r="AE13" s="252">
        <f>AE35*'annual IS'!$L$8</f>
        <v>177876.09948755903</v>
      </c>
      <c r="AF13" s="178"/>
    </row>
    <row r="14" spans="2:32" x14ac:dyDescent="0.15">
      <c r="B14" s="251" t="s">
        <v>29</v>
      </c>
      <c r="C14" s="114">
        <f>'quarterly IS'!C23</f>
        <v>45990</v>
      </c>
      <c r="D14" s="114">
        <f>'quarterly IS'!D23</f>
        <v>8807</v>
      </c>
      <c r="E14" s="114">
        <f>'quarterly IS'!E23</f>
        <v>16371</v>
      </c>
      <c r="F14" s="114">
        <f>'quarterly IS'!F23</f>
        <v>13244</v>
      </c>
      <c r="G14" s="114">
        <f>'quarterly IS'!G23</f>
        <v>26383</v>
      </c>
      <c r="H14" s="114">
        <f>'quarterly IS'!H23</f>
        <v>64805</v>
      </c>
      <c r="I14" s="114">
        <f>'quarterly IS'!I23</f>
        <v>9294</v>
      </c>
      <c r="J14" s="114">
        <f>'quarterly IS'!J23</f>
        <v>7683</v>
      </c>
      <c r="K14" s="114">
        <f>'quarterly IS'!K23</f>
        <v>6509</v>
      </c>
      <c r="L14" s="114">
        <f>'quarterly IS'!L23</f>
        <v>5110</v>
      </c>
      <c r="M14" s="114">
        <f>'quarterly IS'!M23</f>
        <v>28596</v>
      </c>
      <c r="N14" s="114">
        <f>'quarterly IS'!N23</f>
        <v>3458</v>
      </c>
      <c r="O14" s="114">
        <f>'quarterly IS'!O23</f>
        <v>2044</v>
      </c>
      <c r="P14" s="114">
        <f>'quarterly IS'!P23</f>
        <v>2655</v>
      </c>
      <c r="Q14" s="114">
        <f>'quarterly IS'!Q23</f>
        <v>2278</v>
      </c>
      <c r="R14" s="114">
        <f>'quarterly IS'!R23</f>
        <v>10435</v>
      </c>
      <c r="S14" s="114">
        <f>'quarterly IS'!S23</f>
        <v>2143</v>
      </c>
      <c r="T14" s="114">
        <f>'quarterly IS'!T23</f>
        <v>1777</v>
      </c>
      <c r="U14" s="114">
        <f>'quarterly IS'!U23</f>
        <v>34437</v>
      </c>
      <c r="V14" s="114">
        <f>'quarterly IS'!V23</f>
        <v>2178</v>
      </c>
      <c r="W14" s="114">
        <f>'quarterly IS'!W23</f>
        <v>40535</v>
      </c>
      <c r="X14" s="114">
        <f>'quarterly IS'!X23</f>
        <v>1275</v>
      </c>
      <c r="Y14" s="114">
        <f>'quarterly IS'!Y23</f>
        <v>1266</v>
      </c>
      <c r="Z14" s="114">
        <f>'quarterly IS'!Z23</f>
        <v>1159</v>
      </c>
      <c r="AA14" s="246">
        <v>4710</v>
      </c>
      <c r="AB14" s="246">
        <v>0</v>
      </c>
      <c r="AC14" s="246">
        <v>0</v>
      </c>
      <c r="AD14" s="246">
        <v>0</v>
      </c>
      <c r="AE14" s="252">
        <v>0</v>
      </c>
      <c r="AF14" s="178"/>
    </row>
    <row r="15" spans="2:32" ht="15" thickBot="1" x14ac:dyDescent="0.2">
      <c r="B15" s="258" t="s">
        <v>61</v>
      </c>
      <c r="C15" s="254">
        <f>SUM(C10:C14)</f>
        <v>381320</v>
      </c>
      <c r="D15" s="254">
        <f>SUM(D10:D14)</f>
        <v>98863</v>
      </c>
      <c r="E15" s="254">
        <f t="shared" ref="E15:V15" si="3">SUM(E10:E14)</f>
        <v>112846</v>
      </c>
      <c r="F15" s="254">
        <f t="shared" si="3"/>
        <v>103686</v>
      </c>
      <c r="G15" s="254">
        <f t="shared" si="3"/>
        <v>132549</v>
      </c>
      <c r="H15" s="254">
        <f>SUM(H10:H14)</f>
        <v>447944</v>
      </c>
      <c r="I15" s="254">
        <f t="shared" si="3"/>
        <v>118462</v>
      </c>
      <c r="J15" s="254">
        <f t="shared" si="3"/>
        <v>120224</v>
      </c>
      <c r="K15" s="254">
        <f t="shared" si="3"/>
        <v>121316</v>
      </c>
      <c r="L15" s="254">
        <f t="shared" si="3"/>
        <v>122876</v>
      </c>
      <c r="M15" s="254">
        <f>SUM(M10:M14)</f>
        <v>482878</v>
      </c>
      <c r="N15" s="254">
        <f t="shared" si="3"/>
        <v>125289</v>
      </c>
      <c r="O15" s="254">
        <f t="shared" si="3"/>
        <v>126925</v>
      </c>
      <c r="P15" s="254">
        <f t="shared" si="3"/>
        <v>128291</v>
      </c>
      <c r="Q15" s="254">
        <f t="shared" si="3"/>
        <v>124433</v>
      </c>
      <c r="R15" s="254">
        <f>SUM(R10:R14)</f>
        <v>504938</v>
      </c>
      <c r="S15" s="254">
        <f t="shared" si="3"/>
        <v>145508</v>
      </c>
      <c r="T15" s="254">
        <f t="shared" si="3"/>
        <v>145123</v>
      </c>
      <c r="U15" s="254">
        <f t="shared" si="3"/>
        <v>177401</v>
      </c>
      <c r="V15" s="254">
        <f t="shared" si="3"/>
        <v>146893</v>
      </c>
      <c r="W15" s="254">
        <f>SUM(W10:W14)</f>
        <v>614925</v>
      </c>
      <c r="X15" s="254">
        <f t="shared" ref="X15:AE15" si="4">SUM(X10:X14)</f>
        <v>141233</v>
      </c>
      <c r="Y15" s="254">
        <f t="shared" si="4"/>
        <v>142983</v>
      </c>
      <c r="Z15" s="254">
        <f t="shared" si="4"/>
        <v>149368</v>
      </c>
      <c r="AA15" s="259">
        <f t="shared" si="4"/>
        <v>664792.43941309932</v>
      </c>
      <c r="AB15" s="259">
        <f t="shared" si="4"/>
        <v>716195.04096305219</v>
      </c>
      <c r="AC15" s="259">
        <f t="shared" si="4"/>
        <v>773598.9399510494</v>
      </c>
      <c r="AD15" s="259">
        <f t="shared" si="4"/>
        <v>815699.12353745557</v>
      </c>
      <c r="AE15" s="260">
        <f t="shared" si="4"/>
        <v>861245.4989106335</v>
      </c>
      <c r="AF15" s="178"/>
    </row>
    <row r="16" spans="2:32" ht="15" thickBot="1" x14ac:dyDescent="0.2">
      <c r="I16" s="111"/>
      <c r="J16" s="111"/>
      <c r="AA16" s="179"/>
      <c r="AB16" s="179"/>
      <c r="AC16" s="179"/>
      <c r="AD16" s="179"/>
      <c r="AE16" s="179"/>
      <c r="AF16" s="178"/>
    </row>
    <row r="17" spans="2:33" x14ac:dyDescent="0.15">
      <c r="B17" s="261" t="s">
        <v>62</v>
      </c>
      <c r="C17" s="262"/>
      <c r="D17" s="263"/>
      <c r="E17" s="263"/>
      <c r="F17" s="263"/>
      <c r="G17" s="263"/>
      <c r="H17" s="262"/>
      <c r="I17" s="263"/>
      <c r="J17" s="263"/>
      <c r="K17" s="263"/>
      <c r="L17" s="263"/>
      <c r="M17" s="262"/>
      <c r="N17" s="263"/>
      <c r="O17" s="263"/>
      <c r="P17" s="263"/>
      <c r="Q17" s="263"/>
      <c r="R17" s="262"/>
      <c r="S17" s="263"/>
      <c r="T17" s="263"/>
      <c r="U17" s="263"/>
      <c r="V17" s="263"/>
      <c r="W17" s="262"/>
      <c r="X17" s="263"/>
      <c r="Y17" s="263"/>
      <c r="Z17" s="263"/>
      <c r="AA17" s="255"/>
      <c r="AB17" s="255"/>
      <c r="AC17" s="255"/>
      <c r="AD17" s="255"/>
      <c r="AE17" s="256"/>
      <c r="AF17" s="178"/>
    </row>
    <row r="18" spans="2:33" x14ac:dyDescent="0.15">
      <c r="B18" s="251" t="s">
        <v>65</v>
      </c>
      <c r="C18" s="114">
        <f>'quarterly IS'!C30</f>
        <v>-34881</v>
      </c>
      <c r="D18" s="114">
        <f>'quarterly IS'!D30</f>
        <v>-6689</v>
      </c>
      <c r="E18" s="114">
        <f>'quarterly IS'!E30</f>
        <v>-7254</v>
      </c>
      <c r="F18" s="114">
        <f>'quarterly IS'!F30</f>
        <v>-11881</v>
      </c>
      <c r="G18" s="114">
        <f>'quarterly IS'!G30</f>
        <v>-10748</v>
      </c>
      <c r="H18" s="114">
        <f>'quarterly IS'!H30</f>
        <v>-36572</v>
      </c>
      <c r="I18" s="114">
        <f>'quarterly IS'!I30</f>
        <v>-10461</v>
      </c>
      <c r="J18" s="114">
        <f>'quarterly IS'!J30</f>
        <v>-11493</v>
      </c>
      <c r="K18" s="114">
        <f>'quarterly IS'!K30</f>
        <v>-12165</v>
      </c>
      <c r="L18" s="114">
        <f>'quarterly IS'!L30</f>
        <v>-14305</v>
      </c>
      <c r="M18" s="114">
        <f>'quarterly IS'!M30</f>
        <v>-48424</v>
      </c>
      <c r="N18" s="114">
        <f>'quarterly IS'!N30</f>
        <v>-14997</v>
      </c>
      <c r="O18" s="114">
        <f>'quarterly IS'!O30</f>
        <v>-13272</v>
      </c>
      <c r="P18" s="114">
        <f>'quarterly IS'!P30</f>
        <v>-13545</v>
      </c>
      <c r="Q18" s="114">
        <f>'quarterly IS'!Q30</f>
        <v>-13641</v>
      </c>
      <c r="R18" s="114">
        <f>'quarterly IS'!R30</f>
        <v>-55455</v>
      </c>
      <c r="S18" s="114">
        <f>'quarterly IS'!S30</f>
        <v>-11795</v>
      </c>
      <c r="T18" s="114">
        <f>'quarterly IS'!T30</f>
        <v>-15427</v>
      </c>
      <c r="U18" s="114">
        <f>'quarterly IS'!U30</f>
        <v>-18155</v>
      </c>
      <c r="V18" s="114">
        <f>'quarterly IS'!V30</f>
        <v>-15257</v>
      </c>
      <c r="W18" s="114">
        <f>'quarterly IS'!W30</f>
        <v>-60634</v>
      </c>
      <c r="X18" s="114">
        <f>'quarterly IS'!X30</f>
        <v>-14858</v>
      </c>
      <c r="Y18" s="114">
        <f>'quarterly IS'!Y30</f>
        <v>-14955</v>
      </c>
      <c r="Z18" s="114">
        <f>'quarterly IS'!Z30</f>
        <v>-14049</v>
      </c>
      <c r="AA18" s="246">
        <f>AA38*'[1]Balance Sheet'!AA25</f>
        <v>-57102.600993449887</v>
      </c>
      <c r="AB18" s="246">
        <f>AB38*'[1]Balance Sheet'!AB25</f>
        <v>-60516.647783552369</v>
      </c>
      <c r="AC18" s="246">
        <f>AC38*'[1]Balance Sheet'!AC25</f>
        <v>-63811.541652470456</v>
      </c>
      <c r="AD18" s="246">
        <f>AD38*'[1]Balance Sheet'!AD25</f>
        <v>-65643.996733989377</v>
      </c>
      <c r="AE18" s="252">
        <f>AE38*'[1]Balance Sheet'!AE25</f>
        <v>-67577.54290581138</v>
      </c>
      <c r="AF18" s="178"/>
    </row>
    <row r="19" spans="2:33" x14ac:dyDescent="0.15">
      <c r="B19" s="251" t="s">
        <v>66</v>
      </c>
      <c r="C19" s="114">
        <f>'quarterly IS'!C31</f>
        <v>5007</v>
      </c>
      <c r="D19" s="114">
        <f>'quarterly IS'!D31</f>
        <v>-3630</v>
      </c>
      <c r="E19" s="114">
        <f>'quarterly IS'!E31</f>
        <v>344</v>
      </c>
      <c r="F19" s="114">
        <f>'quarterly IS'!F31</f>
        <v>3122</v>
      </c>
      <c r="G19" s="114">
        <f>'quarterly IS'!G31</f>
        <v>-5767</v>
      </c>
      <c r="H19" s="114">
        <f>'quarterly IS'!H31</f>
        <v>-5931</v>
      </c>
      <c r="I19" s="114">
        <f>'quarterly IS'!I31</f>
        <v>-301</v>
      </c>
      <c r="J19" s="114">
        <f>'quarterly IS'!J31</f>
        <v>32</v>
      </c>
      <c r="K19" s="114">
        <f>'quarterly IS'!K31</f>
        <v>443</v>
      </c>
      <c r="L19" s="114">
        <f>'quarterly IS'!L31</f>
        <v>1097</v>
      </c>
      <c r="M19" s="114">
        <f>'quarterly IS'!M31</f>
        <v>1271</v>
      </c>
      <c r="N19" s="114">
        <f>'quarterly IS'!N31</f>
        <v>1828</v>
      </c>
      <c r="O19" s="114">
        <f>'quarterly IS'!O31</f>
        <v>2756</v>
      </c>
      <c r="P19" s="114">
        <f>'quarterly IS'!P31</f>
        <v>3741</v>
      </c>
      <c r="Q19" s="114">
        <f>'quarterly IS'!Q31</f>
        <v>4471</v>
      </c>
      <c r="R19" s="114">
        <f>'quarterly IS'!R31</f>
        <v>12796</v>
      </c>
      <c r="S19" s="114">
        <f>'quarterly IS'!S31</f>
        <v>3404</v>
      </c>
      <c r="T19" s="114">
        <f>'quarterly IS'!T31</f>
        <v>3114</v>
      </c>
      <c r="U19" s="114">
        <f>'quarterly IS'!U31</f>
        <v>4748</v>
      </c>
      <c r="V19" s="114">
        <f>'quarterly IS'!V31</f>
        <v>3068</v>
      </c>
      <c r="W19" s="114">
        <f>'quarterly IS'!W31</f>
        <v>14334</v>
      </c>
      <c r="X19" s="114">
        <f>'quarterly IS'!X31</f>
        <v>2733</v>
      </c>
      <c r="Y19" s="114">
        <f>'quarterly IS'!Y31</f>
        <v>3391</v>
      </c>
      <c r="Z19" s="114">
        <f>'quarterly IS'!Z31</f>
        <v>2886</v>
      </c>
      <c r="AA19" s="246">
        <f>'[1]annual IS'!H31</f>
        <v>5627.4460702054721</v>
      </c>
      <c r="AB19" s="246">
        <f>'[1]annual IS'!I31</f>
        <v>6105.8266787883167</v>
      </c>
      <c r="AC19" s="246">
        <f>'[1]annual IS'!J31</f>
        <v>6595.2160739397768</v>
      </c>
      <c r="AD19" s="246">
        <f>'[1]annual IS'!K31</f>
        <v>6954.1356550892169</v>
      </c>
      <c r="AE19" s="252">
        <f>'[1]annual IS'!L31</f>
        <v>7342.4352913191806</v>
      </c>
      <c r="AF19" s="178"/>
    </row>
    <row r="20" spans="2:33" x14ac:dyDescent="0.15">
      <c r="B20" s="251" t="s">
        <v>32</v>
      </c>
      <c r="C20" s="114">
        <f>'quarterly IS'!C34</f>
        <v>-4694</v>
      </c>
      <c r="D20" s="114">
        <f>'quarterly IS'!D34</f>
        <v>-3451</v>
      </c>
      <c r="E20" s="114">
        <f>'quarterly IS'!E34</f>
        <v>-3967</v>
      </c>
      <c r="F20" s="114">
        <f>'quarterly IS'!F34</f>
        <v>-4087</v>
      </c>
      <c r="G20" s="114">
        <f>'quarterly IS'!G34</f>
        <v>-10947</v>
      </c>
      <c r="H20" s="114">
        <f>'quarterly IS'!H34</f>
        <v>-22452</v>
      </c>
      <c r="I20" s="114">
        <f>'quarterly IS'!I34</f>
        <v>-4412</v>
      </c>
      <c r="J20" s="114">
        <f>'quarterly IS'!J34</f>
        <v>-3219</v>
      </c>
      <c r="K20" s="114">
        <f>'quarterly IS'!K34</f>
        <v>-4539</v>
      </c>
      <c r="L20" s="114">
        <f>'quarterly IS'!L34</f>
        <v>217</v>
      </c>
      <c r="M20" s="114">
        <f>'quarterly IS'!M34</f>
        <v>-11953</v>
      </c>
      <c r="N20" s="114">
        <f>'quarterly IS'!N34</f>
        <v>5918</v>
      </c>
      <c r="O20" s="114">
        <f>'quarterly IS'!O34</f>
        <v>3643</v>
      </c>
      <c r="P20" s="114">
        <f>'quarterly IS'!P34</f>
        <v>6414</v>
      </c>
      <c r="Q20" s="114">
        <f>'quarterly IS'!Q34</f>
        <v>3353</v>
      </c>
      <c r="R20" s="114">
        <f>'quarterly IS'!R34</f>
        <v>19328</v>
      </c>
      <c r="S20" s="114">
        <f>'quarterly IS'!S34</f>
        <v>4426</v>
      </c>
      <c r="T20" s="114">
        <f>'quarterly IS'!T34</f>
        <v>10794</v>
      </c>
      <c r="U20" s="114">
        <f>'quarterly IS'!U34</f>
        <v>515</v>
      </c>
      <c r="V20" s="114">
        <f>'quarterly IS'!V34</f>
        <v>3596</v>
      </c>
      <c r="W20" s="114">
        <f>'quarterly IS'!W34</f>
        <v>19331</v>
      </c>
      <c r="X20" s="114">
        <f>'quarterly IS'!X34</f>
        <v>17038</v>
      </c>
      <c r="Y20" s="114">
        <f>'quarterly IS'!Y34</f>
        <v>18194</v>
      </c>
      <c r="Z20" s="114">
        <f>'quarterly IS'!Z34</f>
        <v>15840</v>
      </c>
      <c r="AA20" s="246">
        <f>'[1]annual IS'!H34</f>
        <v>45968.256759273216</v>
      </c>
      <c r="AB20" s="246">
        <f>'[1]annual IS'!I34</f>
        <v>57006.795583628875</v>
      </c>
      <c r="AC20" s="246">
        <f>'[1]annual IS'!J34</f>
        <v>65591.125031620773</v>
      </c>
      <c r="AD20" s="246">
        <f>'[1]annual IS'!K34</f>
        <v>71635.846686052333</v>
      </c>
      <c r="AE20" s="252">
        <f>'[1]annual IS'!L34</f>
        <v>77631.117687971506</v>
      </c>
      <c r="AF20" s="178"/>
    </row>
    <row r="21" spans="2:33" ht="15" thickBot="1" x14ac:dyDescent="0.2">
      <c r="B21" s="258" t="s">
        <v>63</v>
      </c>
      <c r="C21" s="254">
        <f>-C18+-C19+C20</f>
        <v>25180</v>
      </c>
      <c r="D21" s="254">
        <f>-D18+-D19+D20</f>
        <v>6868</v>
      </c>
      <c r="E21" s="254">
        <f t="shared" ref="E21:Y21" si="5">-E18+-E19+E20</f>
        <v>2943</v>
      </c>
      <c r="F21" s="254">
        <f t="shared" si="5"/>
        <v>4672</v>
      </c>
      <c r="G21" s="254">
        <f t="shared" si="5"/>
        <v>5568</v>
      </c>
      <c r="H21" s="254">
        <f>-H18+-H19+H20</f>
        <v>20051</v>
      </c>
      <c r="I21" s="254">
        <f t="shared" si="5"/>
        <v>6350</v>
      </c>
      <c r="J21" s="254">
        <f t="shared" si="5"/>
        <v>8242</v>
      </c>
      <c r="K21" s="254">
        <f t="shared" si="5"/>
        <v>7183</v>
      </c>
      <c r="L21" s="254">
        <f t="shared" si="5"/>
        <v>13425</v>
      </c>
      <c r="M21" s="254">
        <f>-M18+-M19+M20</f>
        <v>35200</v>
      </c>
      <c r="N21" s="254">
        <f t="shared" si="5"/>
        <v>19087</v>
      </c>
      <c r="O21" s="254">
        <f t="shared" si="5"/>
        <v>14159</v>
      </c>
      <c r="P21" s="254">
        <f t="shared" si="5"/>
        <v>16218</v>
      </c>
      <c r="Q21" s="254">
        <f t="shared" si="5"/>
        <v>12523</v>
      </c>
      <c r="R21" s="254">
        <f>-R18+-R19+R20</f>
        <v>61987</v>
      </c>
      <c r="S21" s="254">
        <f t="shared" si="5"/>
        <v>12817</v>
      </c>
      <c r="T21" s="254">
        <f t="shared" si="5"/>
        <v>23107</v>
      </c>
      <c r="U21" s="254">
        <f t="shared" si="5"/>
        <v>13922</v>
      </c>
      <c r="V21" s="254">
        <f t="shared" si="5"/>
        <v>15785</v>
      </c>
      <c r="W21" s="254">
        <f>-W18+-W19+W20</f>
        <v>65631</v>
      </c>
      <c r="X21" s="254">
        <f t="shared" si="5"/>
        <v>29163</v>
      </c>
      <c r="Y21" s="254">
        <f t="shared" si="5"/>
        <v>29758</v>
      </c>
      <c r="Z21" s="254">
        <f t="shared" ref="Z21:AE21" si="6">-Z18+-Z19+Z20</f>
        <v>27003</v>
      </c>
      <c r="AA21" s="254">
        <f t="shared" si="6"/>
        <v>97443.411682517632</v>
      </c>
      <c r="AB21" s="254">
        <f t="shared" si="6"/>
        <v>111417.61668839293</v>
      </c>
      <c r="AC21" s="254">
        <f t="shared" si="6"/>
        <v>122807.45061015146</v>
      </c>
      <c r="AD21" s="254">
        <f t="shared" si="6"/>
        <v>130325.7077649525</v>
      </c>
      <c r="AE21" s="266">
        <f t="shared" si="6"/>
        <v>137866.22530246369</v>
      </c>
      <c r="AF21" s="178"/>
    </row>
    <row r="22" spans="2:33" x14ac:dyDescent="0.15">
      <c r="AA22" s="179"/>
      <c r="AB22" s="179"/>
      <c r="AC22" s="179"/>
      <c r="AD22" s="179"/>
      <c r="AE22" s="179"/>
      <c r="AF22" s="178"/>
    </row>
    <row r="23" spans="2:33" x14ac:dyDescent="0.15">
      <c r="B23" s="70" t="s">
        <v>64</v>
      </c>
      <c r="C23" s="11">
        <f>SUM(C21,C15,C8)</f>
        <v>724736</v>
      </c>
      <c r="D23" s="11">
        <f>SUM(D21,D15,D8)</f>
        <v>186817</v>
      </c>
      <c r="E23" s="11">
        <f t="shared" ref="E23:V23" si="7">SUM(E21,E15,E8)</f>
        <v>192921</v>
      </c>
      <c r="F23" s="11">
        <f t="shared" si="7"/>
        <v>184992</v>
      </c>
      <c r="G23" s="11">
        <f t="shared" si="7"/>
        <v>236115</v>
      </c>
      <c r="H23" s="11">
        <f>SUM(H21,H15,H8)</f>
        <v>800845</v>
      </c>
      <c r="I23" s="11">
        <f t="shared" si="7"/>
        <v>219318</v>
      </c>
      <c r="J23" s="11">
        <f t="shared" si="7"/>
        <v>216796</v>
      </c>
      <c r="K23" s="11">
        <f t="shared" si="7"/>
        <v>217727</v>
      </c>
      <c r="L23" s="11">
        <f t="shared" si="7"/>
        <v>234050</v>
      </c>
      <c r="M23" s="11">
        <f>SUM(M21,M15,M8)</f>
        <v>887891</v>
      </c>
      <c r="N23" s="11">
        <f t="shared" si="7"/>
        <v>240338</v>
      </c>
      <c r="O23" s="11">
        <f t="shared" si="7"/>
        <v>232968</v>
      </c>
      <c r="P23" s="11">
        <f t="shared" si="7"/>
        <v>234546</v>
      </c>
      <c r="Q23" s="11">
        <f t="shared" si="7"/>
        <v>236023</v>
      </c>
      <c r="R23" s="11">
        <f>SUM(R21,R15,R8)</f>
        <v>943875</v>
      </c>
      <c r="S23" s="11">
        <f t="shared" si="7"/>
        <v>258784</v>
      </c>
      <c r="T23" s="11">
        <f t="shared" si="7"/>
        <v>264106</v>
      </c>
      <c r="U23" s="11">
        <f t="shared" si="7"/>
        <v>294729</v>
      </c>
      <c r="V23" s="11">
        <f t="shared" si="7"/>
        <v>285452</v>
      </c>
      <c r="W23" s="11">
        <f>SUM(W21,W15,W8)</f>
        <v>1103071</v>
      </c>
      <c r="X23" s="11">
        <f t="shared" ref="X23:AE23" si="8">SUM(X21,X15,X8)</f>
        <v>276929</v>
      </c>
      <c r="Y23" s="11">
        <f t="shared" si="8"/>
        <v>265981</v>
      </c>
      <c r="Z23" s="11">
        <f t="shared" si="8"/>
        <v>270472</v>
      </c>
      <c r="AA23" s="179">
        <f t="shared" si="8"/>
        <v>1195693.5297759715</v>
      </c>
      <c r="AB23" s="179">
        <f t="shared" si="8"/>
        <v>1280915.9970379903</v>
      </c>
      <c r="AC23" s="179">
        <f t="shared" si="8"/>
        <v>1370808.6927417899</v>
      </c>
      <c r="AD23" s="179">
        <f t="shared" si="8"/>
        <v>1440215.2163915616</v>
      </c>
      <c r="AE23" s="179">
        <f t="shared" si="8"/>
        <v>1514646.864896643</v>
      </c>
      <c r="AF23" s="178"/>
    </row>
    <row r="24" spans="2:33" ht="15" thickBot="1" x14ac:dyDescent="0.2">
      <c r="D24" s="11"/>
      <c r="AF24" s="178"/>
    </row>
    <row r="25" spans="2:33" x14ac:dyDescent="0.15">
      <c r="B25" s="267" t="s">
        <v>67</v>
      </c>
      <c r="C25" s="268"/>
      <c r="D25" s="263"/>
      <c r="E25" s="263"/>
      <c r="F25" s="263"/>
      <c r="G25" s="263"/>
      <c r="H25" s="268"/>
      <c r="I25" s="263"/>
      <c r="J25" s="263"/>
      <c r="K25" s="263"/>
      <c r="L25" s="263"/>
      <c r="M25" s="268"/>
      <c r="N25" s="263"/>
      <c r="O25" s="263"/>
      <c r="P25" s="263"/>
      <c r="Q25" s="263"/>
      <c r="R25" s="268"/>
      <c r="S25" s="263"/>
      <c r="T25" s="263"/>
      <c r="U25" s="263"/>
      <c r="V25" s="263"/>
      <c r="W25" s="268"/>
      <c r="X25" s="263"/>
      <c r="Y25" s="263"/>
      <c r="Z25" s="263"/>
      <c r="AA25" s="263"/>
      <c r="AB25" s="263"/>
      <c r="AC25" s="263"/>
      <c r="AD25" s="263"/>
      <c r="AE25" s="265"/>
      <c r="AF25" s="178"/>
    </row>
    <row r="26" spans="2:33" x14ac:dyDescent="0.15">
      <c r="B26" s="269" t="s">
        <v>71</v>
      </c>
      <c r="C26" s="270"/>
      <c r="H26" s="270"/>
      <c r="M26" s="270"/>
      <c r="R26" s="270"/>
      <c r="W26" s="270"/>
      <c r="AE26" s="271"/>
      <c r="AF26" s="178"/>
    </row>
    <row r="27" spans="2:33" x14ac:dyDescent="0.15">
      <c r="B27" s="251" t="s">
        <v>70</v>
      </c>
      <c r="C27" s="282">
        <f>C5/'annual IS'!C5</f>
        <v>0.65019978374164089</v>
      </c>
      <c r="D27" s="282">
        <f>D5/'annual IS'!D5</f>
        <v>0.16544939214354312</v>
      </c>
      <c r="E27" s="282">
        <f>E5/'annual IS'!E5</f>
        <v>0.14896045802675068</v>
      </c>
      <c r="F27" s="282">
        <f>F5/'annual IS'!F5</f>
        <v>0.14531150562882661</v>
      </c>
      <c r="G27" s="282">
        <f>G5/'annual IS'!G5</f>
        <v>0.1800458691620829</v>
      </c>
      <c r="H27" s="282">
        <f>H5/'annual IS'!D5</f>
        <v>0.68000749572509434</v>
      </c>
      <c r="I27" s="282">
        <f>I5/'annual IS'!I5</f>
        <v>0.15995648040070634</v>
      </c>
      <c r="J27" s="282">
        <f>J5/'annual IS'!J5</f>
        <v>0.14347719267671927</v>
      </c>
      <c r="K27" s="282">
        <f>K5/'annual IS'!K5</f>
        <v>0.14165887677333913</v>
      </c>
      <c r="L27" s="282">
        <f>L5/'annual IS'!L5</f>
        <v>0.15411253334916525</v>
      </c>
      <c r="M27" s="282">
        <f>M5/'annual IS'!E5</f>
        <v>0.70464088348900289</v>
      </c>
      <c r="N27" s="282" t="e">
        <f>N5/'annual IS'!N5</f>
        <v>#DIV/0!</v>
      </c>
      <c r="O27" s="282" t="e">
        <f>O5/'annual IS'!O5</f>
        <v>#DIV/0!</v>
      </c>
      <c r="P27" s="282" t="e">
        <f>P5/'annual IS'!P5</f>
        <v>#DIV/0!</v>
      </c>
      <c r="Q27" s="282" t="e">
        <f>Q5/'annual IS'!Q5</f>
        <v>#DIV/0!</v>
      </c>
      <c r="R27" s="282">
        <f>R5/'annual IS'!F5</f>
        <v>0.69643178476595935</v>
      </c>
      <c r="S27" s="282" t="e">
        <f>S5/'annual IS'!S5</f>
        <v>#DIV/0!</v>
      </c>
      <c r="T27" s="282" t="e">
        <f>T5/'annual IS'!T5</f>
        <v>#DIV/0!</v>
      </c>
      <c r="U27" s="282" t="e">
        <f>U5/'annual IS'!U5</f>
        <v>#DIV/0!</v>
      </c>
      <c r="V27" s="282" t="e">
        <f>V5/'annual IS'!V5</f>
        <v>#DIV/0!</v>
      </c>
      <c r="W27" s="282">
        <f>W5/'annual IS'!G5</f>
        <v>0.73505227704639386</v>
      </c>
      <c r="X27" s="282">
        <f>X5/'quarterly IS'!X4</f>
        <v>0.7346913219518304</v>
      </c>
      <c r="Y27" s="282">
        <f>Y5/'quarterly IS'!Y4</f>
        <v>0.63760148634547353</v>
      </c>
      <c r="Z27" s="282">
        <f>Z5/'quarterly IS'!Z4</f>
        <v>0.63921819663136192</v>
      </c>
      <c r="AA27" s="282">
        <v>0.72</v>
      </c>
      <c r="AB27" s="283">
        <f>AA27+$AF$27</f>
        <v>0.73</v>
      </c>
      <c r="AC27" s="283">
        <f t="shared" ref="AC27:AE27" si="9">AB27+$AF$27</f>
        <v>0.74</v>
      </c>
      <c r="AD27" s="283">
        <f t="shared" si="9"/>
        <v>0.75</v>
      </c>
      <c r="AE27" s="284">
        <f t="shared" si="9"/>
        <v>0.76</v>
      </c>
      <c r="AF27" s="178">
        <v>0.01</v>
      </c>
      <c r="AG27" s="4" t="s">
        <v>161</v>
      </c>
    </row>
    <row r="28" spans="2:33" x14ac:dyDescent="0.15">
      <c r="B28" s="251" t="s">
        <v>69</v>
      </c>
      <c r="C28" s="282">
        <f>C6/'annual IS'!C6</f>
        <v>0.10251763707688037</v>
      </c>
      <c r="D28" s="282">
        <f>D6/'quarterly IS'!D5</f>
        <v>0.10662437736812977</v>
      </c>
      <c r="E28" s="282">
        <f>E6/'quarterly IS'!E5</f>
        <v>9.8901098901098897E-2</v>
      </c>
      <c r="F28" s="282">
        <f>F6/'quarterly IS'!F5</f>
        <v>0.11700608088805452</v>
      </c>
      <c r="G28" s="282">
        <f>G6/'quarterly IS'!G5</f>
        <v>0.10851404654046885</v>
      </c>
      <c r="H28" s="282">
        <f>H6/'annual IS'!D6</f>
        <v>0.10781640592258046</v>
      </c>
      <c r="I28" s="282">
        <f>I6/'annual IS'!I6</f>
        <v>8.8432831095438761E-3</v>
      </c>
      <c r="J28" s="282">
        <f>J6/'annual IS'!J6</f>
        <v>8.4525397150501998E-3</v>
      </c>
      <c r="K28" s="282">
        <f>K6/'annual IS'!K6</f>
        <v>7.6264353806454492E-3</v>
      </c>
      <c r="L28" s="282">
        <f>L6/'annual IS'!L6</f>
        <v>5.8407984428392569E-3</v>
      </c>
      <c r="M28" s="282">
        <f>M6/'annual IS'!E6</f>
        <v>9.9895897918723831E-2</v>
      </c>
      <c r="N28" s="282" t="e">
        <f>N6/'annual IS'!N6</f>
        <v>#DIV/0!</v>
      </c>
      <c r="O28" s="282" t="e">
        <f>O6/'annual IS'!O6</f>
        <v>#DIV/0!</v>
      </c>
      <c r="P28" s="282" t="e">
        <f>P6/'annual IS'!P6</f>
        <v>#DIV/0!</v>
      </c>
      <c r="Q28" s="282" t="e">
        <f>Q6/'annual IS'!Q6</f>
        <v>#DIV/0!</v>
      </c>
      <c r="R28" s="282">
        <f>R6/'annual IS'!F6</f>
        <v>8.4072696420534207E-2</v>
      </c>
      <c r="S28" s="282" t="e">
        <f>S6/'annual IS'!S6</f>
        <v>#DIV/0!</v>
      </c>
      <c r="T28" s="282" t="e">
        <f>T6/'annual IS'!T6</f>
        <v>#DIV/0!</v>
      </c>
      <c r="U28" s="282" t="e">
        <f>U6/'annual IS'!U6</f>
        <v>#DIV/0!</v>
      </c>
      <c r="V28" s="282" t="e">
        <f>V6/'annual IS'!V6</f>
        <v>#DIV/0!</v>
      </c>
      <c r="W28" s="282">
        <f>W6/'annual IS'!G6</f>
        <v>7.2742907222770228E-2</v>
      </c>
      <c r="X28" s="282">
        <f>X6/'quarterly IS'!X5</f>
        <v>6.8690677830686137E-2</v>
      </c>
      <c r="Y28" s="282">
        <f>Y6/'quarterly IS'!Y5</f>
        <v>6.966023668342966E-2</v>
      </c>
      <c r="Z28" s="282">
        <f>Z6/'quarterly IS'!Z5</f>
        <v>6.8392564139639275E-2</v>
      </c>
      <c r="AA28" s="282">
        <f>W28</f>
        <v>7.2742907222770228E-2</v>
      </c>
      <c r="AB28" s="283">
        <f>AA28-$AF$28</f>
        <v>6.7742907222770224E-2</v>
      </c>
      <c r="AC28" s="283">
        <f t="shared" ref="AC28:AE28" si="10">AB28-$AF$28</f>
        <v>6.2742907222770219E-2</v>
      </c>
      <c r="AD28" s="283">
        <f t="shared" si="10"/>
        <v>5.7742907222770222E-2</v>
      </c>
      <c r="AE28" s="284">
        <f t="shared" si="10"/>
        <v>5.2742907222770224E-2</v>
      </c>
      <c r="AF28" s="178">
        <v>5.0000000000000001E-3</v>
      </c>
      <c r="AG28" s="4" t="s">
        <v>162</v>
      </c>
    </row>
    <row r="29" spans="2:33" ht="15" thickBot="1" x14ac:dyDescent="0.2">
      <c r="B29" s="272" t="s">
        <v>68</v>
      </c>
      <c r="C29" s="285">
        <f>C7/'annual IS'!C7</f>
        <v>0.16519955942008221</v>
      </c>
      <c r="D29" s="285">
        <f>D7/'quarterly IS'!D6</f>
        <v>0.15696166042087056</v>
      </c>
      <c r="E29" s="285">
        <f>E7/'quarterly IS'!E6</f>
        <v>0.15970460748113663</v>
      </c>
      <c r="F29" s="285">
        <f>F7/'quarterly IS'!F6</f>
        <v>0.16597554492291333</v>
      </c>
      <c r="G29" s="285">
        <f>G7/'quarterly IS'!G6</f>
        <v>0.1702004332041856</v>
      </c>
      <c r="H29" s="285">
        <f>H7/'annual IS'!D7</f>
        <v>0.16306207570823708</v>
      </c>
      <c r="I29" s="285">
        <f>I7/'annual IS'!I7</f>
        <v>3.5549554875893244E-2</v>
      </c>
      <c r="J29" s="285">
        <f>J7/'annual IS'!J7</f>
        <v>3.0302014446715989E-2</v>
      </c>
      <c r="K29" s="285">
        <f>K7/'annual IS'!K7</f>
        <v>2.6688166138428518E-2</v>
      </c>
      <c r="L29" s="285">
        <f>L7/'annual IS'!L7</f>
        <v>2.5194655107573939E-2</v>
      </c>
      <c r="M29" s="285">
        <f>M7/'annual IS'!E7</f>
        <v>0.16973861492859069</v>
      </c>
      <c r="N29" s="285" t="e">
        <f>N7/'annual IS'!N7</f>
        <v>#DIV/0!</v>
      </c>
      <c r="O29" s="285" t="e">
        <f>O7/'annual IS'!O7</f>
        <v>#DIV/0!</v>
      </c>
      <c r="P29" s="285" t="e">
        <f>P7/'annual IS'!P7</f>
        <v>#DIV/0!</v>
      </c>
      <c r="Q29" s="285" t="e">
        <f>Q7/'annual IS'!Q7</f>
        <v>#DIV/0!</v>
      </c>
      <c r="R29" s="285">
        <f>R7/'annual IS'!F7</f>
        <v>0.17222176309415588</v>
      </c>
      <c r="S29" s="285" t="e">
        <f>S7/'annual IS'!S7</f>
        <v>#DIV/0!</v>
      </c>
      <c r="T29" s="285" t="e">
        <f>T7/'annual IS'!T7</f>
        <v>#DIV/0!</v>
      </c>
      <c r="U29" s="285" t="e">
        <f>U7/'annual IS'!U7</f>
        <v>#DIV/0!</v>
      </c>
      <c r="V29" s="285" t="e">
        <f>V7/'annual IS'!V7</f>
        <v>#DIV/0!</v>
      </c>
      <c r="W29" s="285">
        <f>W7/'annual IS'!G7</f>
        <v>0.17752480927955103</v>
      </c>
      <c r="X29" s="285">
        <f>X7/'quarterly IS'!X6</f>
        <v>0.14249610841498031</v>
      </c>
      <c r="Y29" s="285">
        <f>Y7/'quarterly IS'!Y6</f>
        <v>0.14447032400282828</v>
      </c>
      <c r="Z29" s="285">
        <f>Z7/'quarterly IS'!Z6</f>
        <v>0.14792927051458737</v>
      </c>
      <c r="AA29" s="285">
        <f>AVERAGE(C29,H29,M29,R29,W29)</f>
        <v>0.1695493644861234</v>
      </c>
      <c r="AB29" s="285">
        <f>AA29</f>
        <v>0.1695493644861234</v>
      </c>
      <c r="AC29" s="285">
        <f t="shared" ref="AC29:AE29" si="11">AB29</f>
        <v>0.1695493644861234</v>
      </c>
      <c r="AD29" s="285">
        <f t="shared" si="11"/>
        <v>0.1695493644861234</v>
      </c>
      <c r="AE29" s="286">
        <f t="shared" si="11"/>
        <v>0.1695493644861234</v>
      </c>
      <c r="AF29" s="178"/>
      <c r="AG29" s="72"/>
    </row>
    <row r="30" spans="2:33" ht="15" thickBot="1" x14ac:dyDescent="0.2">
      <c r="C30" s="72"/>
      <c r="D30" s="72">
        <f t="shared" ref="D30:G30" si="12">SUM(D27:D29)</f>
        <v>0.42903542993254346</v>
      </c>
      <c r="E30" s="72">
        <f t="shared" si="12"/>
        <v>0.40756616440898619</v>
      </c>
      <c r="F30" s="72">
        <f t="shared" si="12"/>
        <v>0.42829313143979447</v>
      </c>
      <c r="G30" s="72">
        <f t="shared" si="12"/>
        <v>0.45876034890673734</v>
      </c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AF30" s="178"/>
    </row>
    <row r="31" spans="2:33" x14ac:dyDescent="0.15">
      <c r="B31" s="273" t="s">
        <v>72</v>
      </c>
      <c r="C31" s="274"/>
      <c r="D31" s="263"/>
      <c r="E31" s="263"/>
      <c r="F31" s="263"/>
      <c r="G31" s="263"/>
      <c r="H31" s="274"/>
      <c r="I31" s="263"/>
      <c r="J31" s="263"/>
      <c r="K31" s="263"/>
      <c r="L31" s="263"/>
      <c r="M31" s="274"/>
      <c r="N31" s="263"/>
      <c r="O31" s="263"/>
      <c r="P31" s="263"/>
      <c r="Q31" s="263"/>
      <c r="R31" s="274"/>
      <c r="S31" s="263"/>
      <c r="T31" s="263"/>
      <c r="U31" s="263"/>
      <c r="V31" s="263"/>
      <c r="W31" s="274"/>
      <c r="X31" s="263"/>
      <c r="Y31" s="263"/>
      <c r="Z31" s="263"/>
      <c r="AA31" s="263"/>
      <c r="AB31" s="263"/>
      <c r="AC31" s="263"/>
      <c r="AD31" s="263"/>
      <c r="AE31" s="265"/>
      <c r="AF31" s="178"/>
    </row>
    <row r="32" spans="2:33" x14ac:dyDescent="0.15">
      <c r="B32" s="275" t="s">
        <v>73</v>
      </c>
      <c r="C32" s="282">
        <f>C10/'annual IS'!C8</f>
        <v>6.8110746077402293E-2</v>
      </c>
      <c r="D32" s="282">
        <f>D10/'annual IS'!D8</f>
        <v>1.8618582100994506E-2</v>
      </c>
      <c r="E32" s="282">
        <f>E10/'annual IS'!E8</f>
        <v>1.7958846437705688E-2</v>
      </c>
      <c r="F32" s="282">
        <f>F10/'annual IS'!F8</f>
        <v>1.2731258009557947E-2</v>
      </c>
      <c r="G32" s="282">
        <f>G10/'annual IS'!G8</f>
        <v>1.3600061344886621E-2</v>
      </c>
      <c r="H32" s="282">
        <f>H10/'annual IS'!$D$8</f>
        <v>7.7462871221694096E-2</v>
      </c>
      <c r="I32" s="282">
        <f>I10/'annual IS'!I8</f>
        <v>1.1395379909584327E-2</v>
      </c>
      <c r="J32" s="282">
        <f>J10/'annual IS'!J8</f>
        <v>1.0093024838231457E-2</v>
      </c>
      <c r="K32" s="282">
        <f>K10/'annual IS'!K8</f>
        <v>1.0419166755335402E-2</v>
      </c>
      <c r="L32" s="282">
        <f>L10/'annual IS'!L8</f>
        <v>1.0987443838293039E-2</v>
      </c>
      <c r="M32" s="282">
        <f>M10/'annual IS'!$E$8</f>
        <v>7.9894586352390717E-2</v>
      </c>
      <c r="N32" s="282" t="e">
        <f>N10/'annual IS'!N8</f>
        <v>#DIV/0!</v>
      </c>
      <c r="O32" s="282" t="e">
        <f>O10/'annual IS'!O8</f>
        <v>#DIV/0!</v>
      </c>
      <c r="P32" s="282" t="e">
        <f>P10/'annual IS'!P8</f>
        <v>#DIV/0!</v>
      </c>
      <c r="Q32" s="282" t="e">
        <f>Q10/'annual IS'!Q8</f>
        <v>#DIV/0!</v>
      </c>
      <c r="R32" s="282">
        <f>R10/'annual IS'!$F$8</f>
        <v>7.9305753276103036E-2</v>
      </c>
      <c r="S32" s="282" t="e">
        <f>S10/'annual IS'!S8</f>
        <v>#DIV/0!</v>
      </c>
      <c r="T32" s="282" t="e">
        <f>T10/'annual IS'!T8</f>
        <v>#DIV/0!</v>
      </c>
      <c r="U32" s="282" t="e">
        <f>U10/'annual IS'!U8</f>
        <v>#DIV/0!</v>
      </c>
      <c r="V32" s="282" t="e">
        <f>V10/'annual IS'!V8</f>
        <v>#DIV/0!</v>
      </c>
      <c r="W32" s="282">
        <f>W10/'annual IS'!$G$8</f>
        <v>7.5630076997834597E-2</v>
      </c>
      <c r="X32" s="282">
        <f>X10/'quarterly IS'!$D$7</f>
        <v>0.14106252917992204</v>
      </c>
      <c r="Y32" s="282">
        <f>Y10/'quarterly IS'!$D$7</f>
        <v>0.10815300593913205</v>
      </c>
      <c r="Z32" s="282">
        <f>Z10/'quarterly IS'!$D$7</f>
        <v>0.13252299106415782</v>
      </c>
      <c r="AA32" s="282">
        <f>AVERAGE(C32,H32,M32,R32,W32)</f>
        <v>7.6080806785084942E-2</v>
      </c>
      <c r="AB32" s="283">
        <f>AA32</f>
        <v>7.6080806785084942E-2</v>
      </c>
      <c r="AC32" s="283">
        <f t="shared" ref="AC32:AE32" si="13">AB32</f>
        <v>7.6080806785084942E-2</v>
      </c>
      <c r="AD32" s="283">
        <f t="shared" si="13"/>
        <v>7.6080806785084942E-2</v>
      </c>
      <c r="AE32" s="284">
        <f t="shared" si="13"/>
        <v>7.6080806785084942E-2</v>
      </c>
      <c r="AF32" s="178"/>
    </row>
    <row r="33" spans="2:32" x14ac:dyDescent="0.15">
      <c r="B33" s="275" t="s">
        <v>74</v>
      </c>
      <c r="C33" s="282">
        <f>C11/'annual IS'!$C$8</f>
        <v>0.17013918235478551</v>
      </c>
      <c r="D33" s="282"/>
      <c r="E33" s="282"/>
      <c r="F33" s="282"/>
      <c r="G33" s="282"/>
      <c r="H33" s="282">
        <f>H11/'annual IS'!$D$8</f>
        <v>0.20800046526628563</v>
      </c>
      <c r="I33" s="282">
        <f>I11/'annual IS'!I9</f>
        <v>531511.71102718543</v>
      </c>
      <c r="J33" s="282">
        <f>J11/'annual IS'!J9</f>
        <v>581151.55235421145</v>
      </c>
      <c r="K33" s="282">
        <f>K11/'annual IS'!K9</f>
        <v>898363.11750476656</v>
      </c>
      <c r="L33" s="282">
        <f>L11/'annual IS'!L9</f>
        <v>944208.8165915251</v>
      </c>
      <c r="M33" s="282">
        <f>M11/'annual IS'!$E$8</f>
        <v>0.22439854806741646</v>
      </c>
      <c r="N33" s="282" t="e">
        <f>N11/'annual IS'!N9</f>
        <v>#DIV/0!</v>
      </c>
      <c r="O33" s="282" t="e">
        <f>O11/'annual IS'!O9</f>
        <v>#DIV/0!</v>
      </c>
      <c r="P33" s="282" t="e">
        <f>P11/'annual IS'!P9</f>
        <v>#DIV/0!</v>
      </c>
      <c r="Q33" s="282" t="e">
        <f>Q11/'annual IS'!Q9</f>
        <v>#DIV/0!</v>
      </c>
      <c r="R33" s="282">
        <f>R11/'annual IS'!$F$8</f>
        <v>0.21890140628079396</v>
      </c>
      <c r="S33" s="282" t="e">
        <f>S11/'annual IS'!S9</f>
        <v>#DIV/0!</v>
      </c>
      <c r="T33" s="282" t="e">
        <f>T11/'annual IS'!T9</f>
        <v>#DIV/0!</v>
      </c>
      <c r="U33" s="282" t="e">
        <f>U11/'annual IS'!U9</f>
        <v>#DIV/0!</v>
      </c>
      <c r="V33" s="282" t="e">
        <f>V11/'annual IS'!V9</f>
        <v>#DIV/0!</v>
      </c>
      <c r="W33" s="282">
        <f>W11/'annual IS'!$G$8</f>
        <v>0.19963176398221666</v>
      </c>
      <c r="X33" s="282">
        <f>X11/'quarterly IS'!$D$7</f>
        <v>0.3335251517355946</v>
      </c>
      <c r="Y33" s="282">
        <f>Y11/'quarterly IS'!$D$7</f>
        <v>0.35180942660774583</v>
      </c>
      <c r="Z33" s="282">
        <f>Z11/'quarterly IS'!$D$7</f>
        <v>0.35784627745627084</v>
      </c>
      <c r="AA33" s="282">
        <f t="shared" ref="AA33:AA35" si="14">AVERAGE(C33,H33,M33,R33,W33)</f>
        <v>0.20421427319029967</v>
      </c>
      <c r="AB33" s="283">
        <f>AA33</f>
        <v>0.20421427319029967</v>
      </c>
      <c r="AC33" s="283">
        <f t="shared" ref="AC33:AE33" si="15">AB33</f>
        <v>0.20421427319029967</v>
      </c>
      <c r="AD33" s="283">
        <f t="shared" si="15"/>
        <v>0.20421427319029967</v>
      </c>
      <c r="AE33" s="284">
        <f t="shared" si="15"/>
        <v>0.20421427319029967</v>
      </c>
      <c r="AF33" s="178"/>
    </row>
    <row r="34" spans="2:32" x14ac:dyDescent="0.15">
      <c r="B34" s="275" t="s">
        <v>75</v>
      </c>
      <c r="C34" s="282">
        <f>C12/'annual IS'!$C$8</f>
        <v>0.11518055536622272</v>
      </c>
      <c r="D34" s="282"/>
      <c r="E34" s="282"/>
      <c r="F34" s="282"/>
      <c r="G34" s="282"/>
      <c r="H34" s="282">
        <f>H12/'annual IS'!$D$8</f>
        <v>0.11153040885274851</v>
      </c>
      <c r="I34" s="282" t="e">
        <f>I12/'annual IS'!I10</f>
        <v>#DIV/0!</v>
      </c>
      <c r="J34" s="282" t="e">
        <f>J12/'annual IS'!J10</f>
        <v>#DIV/0!</v>
      </c>
      <c r="K34" s="282" t="e">
        <f>K12/'annual IS'!K10</f>
        <v>#DIV/0!</v>
      </c>
      <c r="L34" s="282" t="e">
        <f>L12/'annual IS'!L10</f>
        <v>#DIV/0!</v>
      </c>
      <c r="M34" s="282">
        <f>M12/'annual IS'!$E$8</f>
        <v>0.11310963297855058</v>
      </c>
      <c r="N34" s="282" t="e">
        <f>N12/'annual IS'!N10</f>
        <v>#DIV/0!</v>
      </c>
      <c r="O34" s="282" t="e">
        <f>O12/'annual IS'!O10</f>
        <v>#DIV/0!</v>
      </c>
      <c r="P34" s="282" t="e">
        <f>P12/'annual IS'!P10</f>
        <v>#DIV/0!</v>
      </c>
      <c r="Q34" s="282" t="e">
        <f>Q12/'annual IS'!Q10</f>
        <v>#DIV/0!</v>
      </c>
      <c r="R34" s="282">
        <f>R12/'annual IS'!$F$8</f>
        <v>0.10369882761580533</v>
      </c>
      <c r="S34" s="282" t="e">
        <f>S12/'annual IS'!S10</f>
        <v>#DIV/0!</v>
      </c>
      <c r="T34" s="282" t="e">
        <f>T12/'annual IS'!T10</f>
        <v>#DIV/0!</v>
      </c>
      <c r="U34" s="282" t="e">
        <f>U12/'annual IS'!U10</f>
        <v>#DIV/0!</v>
      </c>
      <c r="V34" s="282" t="e">
        <f>V12/'annual IS'!V10</f>
        <v>#DIV/0!</v>
      </c>
      <c r="W34" s="282">
        <f>W12/'annual IS'!$G$8</f>
        <v>0.11023742804894922</v>
      </c>
      <c r="X34" s="282">
        <f>X12/'quarterly IS'!$D$7</f>
        <v>0.13863041660785441</v>
      </c>
      <c r="Y34" s="282">
        <f>Y12/'quarterly IS'!$D$7</f>
        <v>0.16281039293818741</v>
      </c>
      <c r="Z34" s="282">
        <f>Z12/'quarterly IS'!$D$7</f>
        <v>0.16764204514608963</v>
      </c>
      <c r="AA34" s="282">
        <f t="shared" si="14"/>
        <v>0.11075137057245528</v>
      </c>
      <c r="AB34" s="283">
        <f>AA34</f>
        <v>0.11075137057245528</v>
      </c>
      <c r="AC34" s="283">
        <f t="shared" ref="AC34:AE34" si="16">AB34</f>
        <v>0.11075137057245528</v>
      </c>
      <c r="AD34" s="283">
        <f t="shared" si="16"/>
        <v>0.11075137057245528</v>
      </c>
      <c r="AE34" s="284">
        <f t="shared" si="16"/>
        <v>0.11075137057245528</v>
      </c>
      <c r="AF34" s="178"/>
    </row>
    <row r="35" spans="2:32" ht="15" thickBot="1" x14ac:dyDescent="0.2">
      <c r="B35" s="272" t="s">
        <v>76</v>
      </c>
      <c r="C35" s="285">
        <f>C13/'annual IS'!$C$8</f>
        <v>0.10369017271698679</v>
      </c>
      <c r="D35" s="285"/>
      <c r="E35" s="285"/>
      <c r="F35" s="285"/>
      <c r="G35" s="285"/>
      <c r="H35" s="285">
        <f>H13/'annual IS'!$D$8</f>
        <v>0.10943142345047822</v>
      </c>
      <c r="I35" s="285" t="e">
        <f>I13/'annual IS'!I11</f>
        <v>#DIV/0!</v>
      </c>
      <c r="J35" s="285" t="e">
        <f>J13/'annual IS'!J11</f>
        <v>#DIV/0!</v>
      </c>
      <c r="K35" s="285" t="e">
        <f>K13/'annual IS'!K11</f>
        <v>#DIV/0!</v>
      </c>
      <c r="L35" s="285" t="e">
        <f>L13/'annual IS'!L11</f>
        <v>#DIV/0!</v>
      </c>
      <c r="M35" s="285">
        <f>M13/'annual IS'!$E$8</f>
        <v>0.10976062607630073</v>
      </c>
      <c r="N35" s="285" t="e">
        <f>N13/'annual IS'!N11</f>
        <v>#DIV/0!</v>
      </c>
      <c r="O35" s="285" t="e">
        <f>O13/'annual IS'!O11</f>
        <v>#DIV/0!</v>
      </c>
      <c r="P35" s="285" t="e">
        <f>P13/'annual IS'!P11</f>
        <v>#DIV/0!</v>
      </c>
      <c r="Q35" s="285" t="e">
        <f>Q13/'annual IS'!Q11</f>
        <v>#DIV/0!</v>
      </c>
      <c r="R35" s="285">
        <f>R13/'annual IS'!$F$8</f>
        <v>9.2801326948029533E-2</v>
      </c>
      <c r="S35" s="285" t="e">
        <f>S13/'annual IS'!S11</f>
        <v>#DIV/0!</v>
      </c>
      <c r="T35" s="285" t="e">
        <f>T13/'annual IS'!T11</f>
        <v>#DIV/0!</v>
      </c>
      <c r="U35" s="285" t="e">
        <f>U13/'annual IS'!U11</f>
        <v>#DIV/0!</v>
      </c>
      <c r="V35" s="285" t="e">
        <f>V13/'annual IS'!V11</f>
        <v>#DIV/0!</v>
      </c>
      <c r="W35" s="285">
        <f>W13/'annual IS'!$G$8</f>
        <v>9.3249228604720555E-2</v>
      </c>
      <c r="X35" s="285">
        <f>X13/'quarterly IS'!$D$7</f>
        <v>0.14658907069412927</v>
      </c>
      <c r="Y35" s="285">
        <f>Y13/'quarterly IS'!$D$7</f>
        <v>0.14658364187142375</v>
      </c>
      <c r="Z35" s="285">
        <f>Z13/'quarterly IS'!$D$7</f>
        <v>0.14658907069412927</v>
      </c>
      <c r="AA35" s="285">
        <f t="shared" si="14"/>
        <v>0.10178655555930316</v>
      </c>
      <c r="AB35" s="287">
        <f>AA35</f>
        <v>0.10178655555930316</v>
      </c>
      <c r="AC35" s="287">
        <f t="shared" ref="AC35:AE35" si="17">AB35</f>
        <v>0.10178655555930316</v>
      </c>
      <c r="AD35" s="287">
        <f t="shared" si="17"/>
        <v>0.10178655555930316</v>
      </c>
      <c r="AE35" s="288">
        <f t="shared" si="17"/>
        <v>0.10178655555930316</v>
      </c>
      <c r="AF35" s="178"/>
    </row>
    <row r="36" spans="2:32" ht="15" thickBot="1" x14ac:dyDescent="0.2">
      <c r="AF36" s="178"/>
    </row>
    <row r="37" spans="2:32" x14ac:dyDescent="0.15">
      <c r="B37" s="273" t="s">
        <v>77</v>
      </c>
      <c r="C37" s="274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5"/>
      <c r="AF37" s="178"/>
    </row>
    <row r="38" spans="2:32" x14ac:dyDescent="0.15">
      <c r="B38" s="275" t="s">
        <v>78</v>
      </c>
      <c r="C38" s="282">
        <f>C18/('Balance Sheet'!C21+'Balance Sheet'!C25)</f>
        <v>-3.535056150851764E-2</v>
      </c>
      <c r="D38" s="282">
        <f>D18/('Balance Sheet'!D21+'Balance Sheet'!D25)</f>
        <v>-6.8794224123745265E-3</v>
      </c>
      <c r="E38" s="282">
        <f>E18/('Balance Sheet'!E21+'Balance Sheet'!E25)</f>
        <v>-7.4508974150911999E-3</v>
      </c>
      <c r="F38" s="282">
        <f>F18/('Balance Sheet'!F21+'Balance Sheet'!F25)</f>
        <v>-1.2774389719417158E-2</v>
      </c>
      <c r="G38" s="282" t="e">
        <f>G18/('Balance Sheet'!#REF!+'Balance Sheet'!G25)</f>
        <v>#REF!</v>
      </c>
      <c r="H38" s="282">
        <f>H18/('Balance Sheet'!H21+'Balance Sheet'!H25)</f>
        <v>-3.9289792840130337E-2</v>
      </c>
      <c r="I38" s="282">
        <f>I18/('Balance Sheet'!I21+'Balance Sheet'!I25)</f>
        <v>-1.1255019086515496E-2</v>
      </c>
      <c r="J38" s="282">
        <f>J18/('Balance Sheet'!J21+'Balance Sheet'!J25)</f>
        <v>-1.2383483947156044E-2</v>
      </c>
      <c r="K38" s="282">
        <f>K18/('Balance Sheet'!K21+'Balance Sheet'!K25)</f>
        <v>-1.312695649921929E-2</v>
      </c>
      <c r="L38" s="282">
        <f>L18/('Balance Sheet'!L21+'Balance Sheet'!L25)</f>
        <v>-1.5459215983781062E-2</v>
      </c>
      <c r="M38" s="282">
        <f>M18/('Balance Sheet'!M21+'Balance Sheet'!M25)</f>
        <v>-5.2331148185852092E-2</v>
      </c>
      <c r="N38" s="282" t="e">
        <f>N18/('Balance Sheet'!N21+'Balance Sheet'!N25)</f>
        <v>#VALUE!</v>
      </c>
      <c r="O38" s="282" t="e">
        <f>O18/('Balance Sheet'!O21+'Balance Sheet'!O25)</f>
        <v>#VALUE!</v>
      </c>
      <c r="P38" s="282" t="e">
        <f>P18/('Balance Sheet'!P21+'Balance Sheet'!P25)</f>
        <v>#VALUE!</v>
      </c>
      <c r="Q38" s="282" t="e">
        <f>Q18/('Balance Sheet'!Q21+'Balance Sheet'!Q25)</f>
        <v>#VALUE!</v>
      </c>
      <c r="R38" s="282">
        <f>R18/('Balance Sheet'!R21+'Balance Sheet'!R25)</f>
        <v>-6.3379170990614561E-2</v>
      </c>
      <c r="S38" s="282" t="e">
        <f>S18/('Balance Sheet'!S21+'Balance Sheet'!S25)</f>
        <v>#VALUE!</v>
      </c>
      <c r="T38" s="282" t="e">
        <f>T18/('Balance Sheet'!T21+'Balance Sheet'!T25)</f>
        <v>#VALUE!</v>
      </c>
      <c r="U38" s="282" t="e">
        <f>U18/('Balance Sheet'!U21+'Balance Sheet'!U25)</f>
        <v>#VALUE!</v>
      </c>
      <c r="V38" s="282" t="e">
        <f>V18/('Balance Sheet'!V21+'Balance Sheet'!V25)</f>
        <v>#VALUE!</v>
      </c>
      <c r="W38" s="282">
        <f>W18/('Balance Sheet'!W21+'Balance Sheet'!W25)</f>
        <v>-5.7402198805075445E-2</v>
      </c>
      <c r="X38" s="32"/>
      <c r="Y38" s="32"/>
      <c r="Z38" s="32"/>
      <c r="AA38" s="32">
        <f>AVERAGE(C38,H38,M38,R38,W38)</f>
        <v>-4.9550574466038014E-2</v>
      </c>
      <c r="AB38" s="32">
        <f>AA38</f>
        <v>-4.9550574466038014E-2</v>
      </c>
      <c r="AC38" s="32">
        <f t="shared" ref="AC38:AE38" si="18">AB38</f>
        <v>-4.9550574466038014E-2</v>
      </c>
      <c r="AD38" s="32">
        <f t="shared" si="18"/>
        <v>-4.9550574466038014E-2</v>
      </c>
      <c r="AE38" s="276">
        <f t="shared" si="18"/>
        <v>-4.9550574466038014E-2</v>
      </c>
      <c r="AF38" s="178"/>
    </row>
    <row r="39" spans="2:32" x14ac:dyDescent="0.15">
      <c r="B39" s="275" t="s">
        <v>79</v>
      </c>
      <c r="C39" s="282">
        <f>'annual IS'!C36</f>
        <v>-1.133816425120773</v>
      </c>
      <c r="D39" s="282">
        <f>'annual IS'!D36</f>
        <v>0.3364049085269924</v>
      </c>
      <c r="E39" s="282">
        <f>'annual IS'!E36</f>
        <v>0.31375997480050399</v>
      </c>
      <c r="F39" s="282">
        <f>'annual IS'!F36</f>
        <v>0.25756929637526654</v>
      </c>
      <c r="G39" s="282">
        <f>'annual IS'!G36</f>
        <v>0.16659772135753315</v>
      </c>
      <c r="H39" s="282">
        <f>'annual IS'!D36</f>
        <v>0.3364049085269924</v>
      </c>
      <c r="I39" s="282">
        <f>'annual IS'!E36</f>
        <v>0.31375997480050399</v>
      </c>
      <c r="J39" s="282">
        <f>'annual IS'!F36</f>
        <v>0.25756929637526654</v>
      </c>
      <c r="K39" s="282">
        <f>'annual IS'!G36</f>
        <v>0.16659772135753315</v>
      </c>
      <c r="L39" s="282">
        <f>'annual IS'!H36</f>
        <v>0.2424</v>
      </c>
      <c r="M39" s="282">
        <f>'annual IS'!E36</f>
        <v>0.31375997480050399</v>
      </c>
      <c r="N39" s="282">
        <f>'annual IS'!J36</f>
        <v>0.248</v>
      </c>
      <c r="O39" s="282">
        <f>'annual IS'!K36</f>
        <v>0.25</v>
      </c>
      <c r="P39" s="282">
        <f>'annual IS'!L36</f>
        <v>0.25</v>
      </c>
      <c r="Q39" s="282">
        <f>'annual IS'!M36</f>
        <v>0</v>
      </c>
      <c r="R39" s="282">
        <f>'annual IS'!F36</f>
        <v>0.25756929637526654</v>
      </c>
      <c r="S39" s="282">
        <f>'annual IS'!O36</f>
        <v>0</v>
      </c>
      <c r="T39" s="282">
        <f>'annual IS'!P36</f>
        <v>0</v>
      </c>
      <c r="U39" s="282">
        <f>'annual IS'!Q36</f>
        <v>0</v>
      </c>
      <c r="V39" s="282">
        <f>'annual IS'!R36</f>
        <v>0</v>
      </c>
      <c r="W39" s="282">
        <f>'annual IS'!G36</f>
        <v>0.16659772135753315</v>
      </c>
      <c r="AA39" s="277">
        <v>0.2424</v>
      </c>
      <c r="AB39" s="277">
        <v>0.24859999999999999</v>
      </c>
      <c r="AC39" s="277">
        <v>0.248</v>
      </c>
      <c r="AD39" s="277">
        <v>0.25</v>
      </c>
      <c r="AE39" s="278">
        <v>0.25</v>
      </c>
      <c r="AF39" s="4" t="s">
        <v>210</v>
      </c>
    </row>
    <row r="40" spans="2:32" x14ac:dyDescent="0.15">
      <c r="B40" s="275"/>
      <c r="AE40" s="271"/>
    </row>
    <row r="41" spans="2:32" ht="15" thickBot="1" x14ac:dyDescent="0.2">
      <c r="B41" s="272" t="s">
        <v>212</v>
      </c>
      <c r="C41" s="279">
        <f>'annual IS'!C32/'annual IS'!C8</f>
        <v>6.8255244898237383E-3</v>
      </c>
      <c r="D41" s="279">
        <f>'annual IS'!D32/'annual IS'!D8</f>
        <v>-7.8394725572198225E-3</v>
      </c>
      <c r="E41" s="279">
        <f>'annual IS'!E32/'annual IS'!E8</f>
        <v>1.4749091381703236E-3</v>
      </c>
      <c r="F41" s="279">
        <f>'annual IS'!F32/'annual IS'!F8</f>
        <v>1.280128693150271E-2</v>
      </c>
      <c r="G41" s="279">
        <f>'annual IS'!G32/'annual IS'!G8</f>
        <v>1.194725006542899E-2</v>
      </c>
      <c r="H41" s="279">
        <f>'annual IS'!D32/'annual IS'!D8</f>
        <v>-7.8394725572198225E-3</v>
      </c>
      <c r="I41" s="279">
        <f>'annual IS'!I32/'annual IS'!I8</f>
        <v>4.2015830112843225E-3</v>
      </c>
      <c r="J41" s="279">
        <f>'annual IS'!J32/'annual IS'!J8</f>
        <v>4.2015830112843225E-3</v>
      </c>
      <c r="K41" s="279">
        <f>'annual IS'!K32/'annual IS'!K8</f>
        <v>4.2015830112843225E-3</v>
      </c>
      <c r="L41" s="279">
        <f>'annual IS'!L32/'annual IS'!L8</f>
        <v>4.2015830112843225E-3</v>
      </c>
      <c r="M41" s="279">
        <f>'annual IS'!E32/'annual IS'!E8</f>
        <v>1.4749091381703236E-3</v>
      </c>
      <c r="N41" s="279" t="e">
        <f>'annual IS'!N32/'annual IS'!N8</f>
        <v>#DIV/0!</v>
      </c>
      <c r="O41" s="279" t="e">
        <f>'annual IS'!O32/'annual IS'!O8</f>
        <v>#DIV/0!</v>
      </c>
      <c r="P41" s="279" t="e">
        <f>'annual IS'!P32/'annual IS'!P8</f>
        <v>#DIV/0!</v>
      </c>
      <c r="Q41" s="279" t="e">
        <f>'annual IS'!Q32/'annual IS'!Q8</f>
        <v>#DIV/0!</v>
      </c>
      <c r="R41" s="279">
        <f>'annual IS'!F32/'annual IS'!F8</f>
        <v>1.280128693150271E-2</v>
      </c>
      <c r="S41" s="279" t="e">
        <f>'annual IS'!S32/'annual IS'!S8</f>
        <v>#DIV/0!</v>
      </c>
      <c r="T41" s="279" t="e">
        <f>'annual IS'!T32/'annual IS'!T8</f>
        <v>#DIV/0!</v>
      </c>
      <c r="U41" s="279" t="e">
        <f>'annual IS'!U32/'annual IS'!U8</f>
        <v>#DIV/0!</v>
      </c>
      <c r="V41" s="279" t="e">
        <f>'annual IS'!V32/'annual IS'!V8</f>
        <v>#DIV/0!</v>
      </c>
      <c r="W41" s="279">
        <f>'annual IS'!G32/'annual IS'!G8</f>
        <v>1.194725006542899E-2</v>
      </c>
      <c r="X41" s="280"/>
      <c r="Y41" s="280"/>
      <c r="Z41" s="280"/>
      <c r="AA41" s="280">
        <f>AVERAGE(W41,R41,M41,H41,C41,)</f>
        <v>4.2015830112843225E-3</v>
      </c>
      <c r="AB41" s="280">
        <f>AA41</f>
        <v>4.2015830112843225E-3</v>
      </c>
      <c r="AC41" s="280">
        <f t="shared" ref="AC41:AE41" si="19">AB41</f>
        <v>4.2015830112843225E-3</v>
      </c>
      <c r="AD41" s="280">
        <f t="shared" si="19"/>
        <v>4.2015830112843225E-3</v>
      </c>
      <c r="AE41" s="281">
        <f t="shared" si="19"/>
        <v>4.2015830112843225E-3</v>
      </c>
    </row>
  </sheetData>
  <mergeCells count="2">
    <mergeCell ref="C1:W1"/>
    <mergeCell ref="AA1:A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D534-7554-0F48-B0DC-3E6BC9500574}">
  <dimension ref="A1:AD68"/>
  <sheetViews>
    <sheetView showGridLines="0" workbookViewId="0">
      <pane xSplit="2" ySplit="2" topLeftCell="H3" activePane="bottomRight" state="frozen"/>
      <selection activeCell="H5" sqref="H1:H1048576"/>
      <selection pane="topRight" activeCell="H5" sqref="H1:H1048576"/>
      <selection pane="bottomLeft" activeCell="H5" sqref="H1:H1048576"/>
      <selection pane="bottomRight" activeCell="Y61" sqref="Y61"/>
    </sheetView>
  </sheetViews>
  <sheetFormatPr baseColWidth="10" defaultColWidth="11.5" defaultRowHeight="14" x14ac:dyDescent="0.15"/>
  <cols>
    <col min="1" max="1" width="2.1640625" style="4" customWidth="1"/>
    <col min="2" max="2" width="63.83203125" style="4" customWidth="1"/>
    <col min="3" max="3" width="10.5" style="4" customWidth="1"/>
    <col min="4" max="7" width="11.6640625" style="4" hidden="1" customWidth="1"/>
    <col min="8" max="8" width="11.6640625" style="4" customWidth="1"/>
    <col min="9" max="12" width="11.6640625" style="4" hidden="1" customWidth="1"/>
    <col min="13" max="13" width="11.6640625" style="4" customWidth="1"/>
    <col min="14" max="17" width="11.6640625" style="4" hidden="1" customWidth="1"/>
    <col min="18" max="18" width="11.6640625" style="4" customWidth="1"/>
    <col min="19" max="22" width="11.6640625" style="4" hidden="1" customWidth="1"/>
    <col min="23" max="24" width="10.5" style="4" bestFit="1" customWidth="1"/>
    <col min="25" max="25" width="11.5" style="4"/>
    <col min="26" max="26" width="11.33203125" style="4" bestFit="1" customWidth="1"/>
    <col min="27" max="16384" width="11.5" style="4"/>
  </cols>
  <sheetData>
    <row r="1" spans="1:28" ht="16" customHeight="1" x14ac:dyDescent="0.15">
      <c r="B1" s="5" t="s">
        <v>275</v>
      </c>
      <c r="C1" s="320" t="s">
        <v>0</v>
      </c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 t="s">
        <v>117</v>
      </c>
      <c r="Y1" s="320"/>
      <c r="Z1" s="320"/>
      <c r="AA1" s="320"/>
      <c r="AB1" s="320"/>
    </row>
    <row r="2" spans="1:28" x14ac:dyDescent="0.15">
      <c r="B2" s="5"/>
      <c r="C2" s="5" t="s">
        <v>127</v>
      </c>
      <c r="D2" s="294" t="s">
        <v>49</v>
      </c>
      <c r="E2" s="294" t="s">
        <v>50</v>
      </c>
      <c r="F2" s="294" t="s">
        <v>51</v>
      </c>
      <c r="G2" s="294" t="s">
        <v>52</v>
      </c>
      <c r="H2" s="294" t="s">
        <v>126</v>
      </c>
      <c r="I2" s="294" t="s">
        <v>41</v>
      </c>
      <c r="J2" s="294" t="s">
        <v>43</v>
      </c>
      <c r="K2" s="294" t="s">
        <v>42</v>
      </c>
      <c r="L2" s="294" t="s">
        <v>44</v>
      </c>
      <c r="M2" s="294" t="s">
        <v>118</v>
      </c>
      <c r="N2" s="295" t="s">
        <v>45</v>
      </c>
      <c r="O2" s="295" t="s">
        <v>46</v>
      </c>
      <c r="P2" s="295" t="s">
        <v>47</v>
      </c>
      <c r="Q2" s="295" t="s">
        <v>48</v>
      </c>
      <c r="R2" s="295" t="s">
        <v>119</v>
      </c>
      <c r="S2" s="295" t="s">
        <v>53</v>
      </c>
      <c r="T2" s="295" t="s">
        <v>54</v>
      </c>
      <c r="U2" s="295" t="s">
        <v>55</v>
      </c>
      <c r="V2" s="295" t="s">
        <v>56</v>
      </c>
      <c r="W2" s="295" t="s">
        <v>120</v>
      </c>
      <c r="X2" s="10" t="s">
        <v>116</v>
      </c>
      <c r="Y2" s="10" t="s">
        <v>121</v>
      </c>
      <c r="Z2" s="10" t="s">
        <v>122</v>
      </c>
      <c r="AA2" s="10" t="s">
        <v>123</v>
      </c>
      <c r="AB2" s="10" t="s">
        <v>124</v>
      </c>
    </row>
    <row r="3" spans="1:28" x14ac:dyDescent="0.15">
      <c r="B3" s="4" t="s">
        <v>17</v>
      </c>
      <c r="C3" s="114">
        <f>'quarterly IS'!C4</f>
        <v>430966</v>
      </c>
      <c r="D3" s="114">
        <f>'quarterly IS'!D4</f>
        <v>102534</v>
      </c>
      <c r="E3" s="114">
        <f>'quarterly IS'!E4</f>
        <v>109182</v>
      </c>
      <c r="F3" s="114">
        <f>'quarterly IS'!F4</f>
        <v>102733</v>
      </c>
      <c r="G3" s="114">
        <f>'quarterly IS'!G4</f>
        <v>112461</v>
      </c>
      <c r="H3" s="114">
        <f>'quarterly IS'!H4</f>
        <v>426910</v>
      </c>
      <c r="I3" s="114">
        <f>'quarterly IS'!I4</f>
        <v>104348</v>
      </c>
      <c r="J3" s="114">
        <f>'quarterly IS'!J4</f>
        <v>103034</v>
      </c>
      <c r="K3" s="114">
        <f>'quarterly IS'!K4</f>
        <v>108580</v>
      </c>
      <c r="L3" s="114">
        <f>'quarterly IS'!L4</f>
        <v>136064</v>
      </c>
      <c r="M3" s="114">
        <f>'quarterly IS'!M4</f>
        <v>452026</v>
      </c>
      <c r="N3" s="114">
        <f>'quarterly IS'!N4</f>
        <v>111073</v>
      </c>
      <c r="O3" s="114">
        <f>'quarterly IS'!O4</f>
        <v>111960</v>
      </c>
      <c r="P3" s="114">
        <f>'quarterly IS'!P4</f>
        <v>114082</v>
      </c>
      <c r="Q3" s="114">
        <f>'quarterly IS'!Q4</f>
        <v>118575</v>
      </c>
      <c r="R3" s="114">
        <f>'quarterly IS'!R4</f>
        <v>455690</v>
      </c>
      <c r="S3" s="114">
        <f>'quarterly IS'!S4</f>
        <v>118214</v>
      </c>
      <c r="T3" s="114">
        <f>'quarterly IS'!T4</f>
        <v>116720</v>
      </c>
      <c r="U3" s="114">
        <f>'quarterly IS'!U4</f>
        <v>119174</v>
      </c>
      <c r="V3" s="114">
        <f>'quarterly IS'!V4</f>
        <v>124209</v>
      </c>
      <c r="W3" s="114">
        <f>'quarterly IS'!W4</f>
        <v>478317</v>
      </c>
      <c r="X3" s="114">
        <f>X25*X28</f>
        <v>491352.42181323457</v>
      </c>
      <c r="Y3" s="114">
        <f t="shared" ref="Y3:AB3" si="0">Y25*Y28</f>
        <v>505600.02193973551</v>
      </c>
      <c r="Z3" s="114">
        <f t="shared" si="0"/>
        <v>522131.76604866493</v>
      </c>
      <c r="AA3" s="114">
        <f t="shared" si="0"/>
        <v>539980.28039141092</v>
      </c>
      <c r="AB3" s="114">
        <f t="shared" si="0"/>
        <v>559558.64280435629</v>
      </c>
    </row>
    <row r="4" spans="1:28" x14ac:dyDescent="0.15">
      <c r="B4" s="4" t="s">
        <v>18</v>
      </c>
      <c r="C4" s="114">
        <f>'quarterly IS'!C5</f>
        <v>190933</v>
      </c>
      <c r="D4" s="114">
        <f>'quarterly IS'!D5</f>
        <v>46978</v>
      </c>
      <c r="E4" s="114">
        <f>'quarterly IS'!E5</f>
        <v>48776</v>
      </c>
      <c r="F4" s="114">
        <f>'quarterly IS'!F5</f>
        <v>49006</v>
      </c>
      <c r="G4" s="114">
        <f>'quarterly IS'!G5</f>
        <v>58057</v>
      </c>
      <c r="H4" s="114">
        <f>'quarterly IS'!H5</f>
        <v>202817</v>
      </c>
      <c r="I4" s="114">
        <f>'quarterly IS'!I5</f>
        <v>59365</v>
      </c>
      <c r="J4" s="114">
        <f>'quarterly IS'!J5</f>
        <v>65599</v>
      </c>
      <c r="K4" s="114">
        <f>'quarterly IS'!K5</f>
        <v>74642</v>
      </c>
      <c r="L4" s="114">
        <f>'quarterly IS'!L5</f>
        <v>61676</v>
      </c>
      <c r="M4" s="114">
        <f>'quarterly IS'!M5</f>
        <v>261282</v>
      </c>
      <c r="N4" s="114">
        <f>'quarterly IS'!N5</f>
        <v>88480</v>
      </c>
      <c r="O4" s="114">
        <f>'quarterly IS'!O5</f>
        <v>92676</v>
      </c>
      <c r="P4" s="114">
        <f>'quarterly IS'!P5</f>
        <v>100005</v>
      </c>
      <c r="Q4" s="114">
        <f>'quarterly IS'!Q5</f>
        <v>105433</v>
      </c>
      <c r="R4" s="114">
        <f>'quarterly IS'!R5</f>
        <v>386594</v>
      </c>
      <c r="S4" s="114">
        <f>'quarterly IS'!S5</f>
        <v>121644</v>
      </c>
      <c r="T4" s="114">
        <f>'quarterly IS'!T5</f>
        <v>138684</v>
      </c>
      <c r="U4" s="114">
        <f>'quarterly IS'!U5</f>
        <v>140953</v>
      </c>
      <c r="V4" s="114">
        <f>'quarterly IS'!V5</f>
        <v>144133</v>
      </c>
      <c r="W4" s="114">
        <f>'quarterly IS'!W5</f>
        <v>545414</v>
      </c>
      <c r="X4" s="114">
        <f>X52*1000</f>
        <v>662102.21533246059</v>
      </c>
      <c r="Y4" s="114">
        <f t="shared" ref="Y4:AB4" si="1">Y52*1000</f>
        <v>750965.44097212935</v>
      </c>
      <c r="Z4" s="114">
        <f t="shared" si="1"/>
        <v>838801.14604795945</v>
      </c>
      <c r="AA4" s="114">
        <f t="shared" si="1"/>
        <v>893208.90560322022</v>
      </c>
      <c r="AB4" s="114">
        <f t="shared" si="1"/>
        <v>951582.2287642943</v>
      </c>
    </row>
    <row r="5" spans="1:28" x14ac:dyDescent="0.15">
      <c r="B5" s="4" t="s">
        <v>19</v>
      </c>
      <c r="C5" s="114">
        <f>'quarterly IS'!C6</f>
        <v>111671</v>
      </c>
      <c r="D5" s="114">
        <f>'quarterly IS'!D6</f>
        <v>34690</v>
      </c>
      <c r="E5" s="114">
        <f>'quarterly IS'!E6</f>
        <v>31145</v>
      </c>
      <c r="F5" s="114">
        <f>'quarterly IS'!F6</f>
        <v>28215</v>
      </c>
      <c r="G5" s="114">
        <f>'quarterly IS'!G6</f>
        <v>32779</v>
      </c>
      <c r="H5" s="114">
        <f>'quarterly IS'!H6</f>
        <v>126829</v>
      </c>
      <c r="I5" s="114">
        <f>'quarterly IS'!I6</f>
        <v>41966</v>
      </c>
      <c r="J5" s="114">
        <f>'quarterly IS'!J6</f>
        <v>37509</v>
      </c>
      <c r="K5" s="114">
        <f>'quarterly IS'!K6</f>
        <v>32864</v>
      </c>
      <c r="L5" s="114">
        <f>'quarterly IS'!L6</f>
        <v>36101</v>
      </c>
      <c r="M5" s="114">
        <f>'quarterly IS'!M6</f>
        <v>148440</v>
      </c>
      <c r="N5" s="114">
        <f>'quarterly IS'!N6</f>
        <v>44879</v>
      </c>
      <c r="O5" s="114">
        <f>'quarterly IS'!O6</f>
        <v>38913</v>
      </c>
      <c r="P5" s="114">
        <f>'quarterly IS'!P6</f>
        <v>35132</v>
      </c>
      <c r="Q5" s="114">
        <f>'quarterly IS'!Q6</f>
        <v>38379</v>
      </c>
      <c r="R5" s="114">
        <f>'quarterly IS'!R6</f>
        <v>157303</v>
      </c>
      <c r="S5" s="114">
        <f>'quarterly IS'!S6</f>
        <v>47739</v>
      </c>
      <c r="T5" s="114">
        <f>'quarterly IS'!T6</f>
        <v>44524</v>
      </c>
      <c r="U5" s="114">
        <f>'quarterly IS'!U6</f>
        <v>40305</v>
      </c>
      <c r="V5" s="114">
        <f>'quarterly IS'!V6</f>
        <v>43475</v>
      </c>
      <c r="W5" s="114">
        <f>'quarterly IS'!W6</f>
        <v>176043</v>
      </c>
      <c r="X5" s="114">
        <f>X25*X67</f>
        <v>185908.65880529853</v>
      </c>
      <c r="Y5" s="114">
        <f>Y25*Y67</f>
        <v>196655.06430126121</v>
      </c>
      <c r="Z5" s="114">
        <f>Z25*Z67</f>
        <v>208764.99848298324</v>
      </c>
      <c r="AA5" s="114">
        <f>AA25*AA67</f>
        <v>221933.57045508726</v>
      </c>
      <c r="AB5" s="114">
        <f>AB25*AB67</f>
        <v>236399.34639190699</v>
      </c>
    </row>
    <row r="6" spans="1:28" ht="15" thickBot="1" x14ac:dyDescent="0.2">
      <c r="A6" s="4" t="s">
        <v>36</v>
      </c>
      <c r="B6" s="12" t="s">
        <v>125</v>
      </c>
      <c r="C6" s="12">
        <f>SUM(C3:C5)</f>
        <v>733570</v>
      </c>
      <c r="D6" s="12">
        <f t="shared" ref="D6:AB6" si="2">SUM(D3:D5)</f>
        <v>184202</v>
      </c>
      <c r="E6" s="12">
        <f t="shared" si="2"/>
        <v>189103</v>
      </c>
      <c r="F6" s="12">
        <f t="shared" si="2"/>
        <v>179954</v>
      </c>
      <c r="G6" s="12">
        <f t="shared" si="2"/>
        <v>203297</v>
      </c>
      <c r="H6" s="12">
        <f t="shared" si="2"/>
        <v>756556</v>
      </c>
      <c r="I6" s="12">
        <f t="shared" si="2"/>
        <v>205679</v>
      </c>
      <c r="J6" s="12">
        <f t="shared" si="2"/>
        <v>206142</v>
      </c>
      <c r="K6" s="12">
        <f t="shared" si="2"/>
        <v>216086</v>
      </c>
      <c r="L6" s="12">
        <f t="shared" si="2"/>
        <v>233841</v>
      </c>
      <c r="M6" s="12">
        <f t="shared" si="2"/>
        <v>861748</v>
      </c>
      <c r="N6" s="12">
        <f t="shared" si="2"/>
        <v>244432</v>
      </c>
      <c r="O6" s="12">
        <f t="shared" si="2"/>
        <v>243549</v>
      </c>
      <c r="P6" s="12">
        <f t="shared" si="2"/>
        <v>249219</v>
      </c>
      <c r="Q6" s="12">
        <f t="shared" si="2"/>
        <v>262387</v>
      </c>
      <c r="R6" s="12">
        <f t="shared" si="2"/>
        <v>999587</v>
      </c>
      <c r="S6" s="12">
        <f t="shared" si="2"/>
        <v>287597</v>
      </c>
      <c r="T6" s="12">
        <f t="shared" si="2"/>
        <v>299928</v>
      </c>
      <c r="U6" s="12">
        <f t="shared" si="2"/>
        <v>300432</v>
      </c>
      <c r="V6" s="12">
        <f t="shared" si="2"/>
        <v>311817</v>
      </c>
      <c r="W6" s="12">
        <f t="shared" si="2"/>
        <v>1199774</v>
      </c>
      <c r="X6" s="12">
        <f t="shared" si="2"/>
        <v>1339363.2959509939</v>
      </c>
      <c r="Y6" s="12">
        <f t="shared" si="2"/>
        <v>1453220.527213126</v>
      </c>
      <c r="Z6" s="12">
        <f t="shared" si="2"/>
        <v>1569697.9105796076</v>
      </c>
      <c r="AA6" s="12">
        <f t="shared" si="2"/>
        <v>1655122.7564497185</v>
      </c>
      <c r="AB6" s="12">
        <f t="shared" si="2"/>
        <v>1747540.2179605574</v>
      </c>
    </row>
    <row r="7" spans="1:28" ht="15" thickTop="1" x14ac:dyDescent="0.1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9" spans="1:28" x14ac:dyDescent="0.15">
      <c r="A9" s="4" t="s">
        <v>36</v>
      </c>
      <c r="B9" s="13" t="s">
        <v>128</v>
      </c>
      <c r="C9" s="13"/>
    </row>
    <row r="10" spans="1:28" x14ac:dyDescent="0.15">
      <c r="B10" s="4" t="s">
        <v>17</v>
      </c>
      <c r="E10" s="14">
        <f t="shared" ref="E10:G12" si="3">(E3-D3)/D3</f>
        <v>6.4837029668207619E-2</v>
      </c>
      <c r="F10" s="14">
        <f t="shared" si="3"/>
        <v>-5.9066512795149385E-2</v>
      </c>
      <c r="G10" s="14">
        <f t="shared" si="3"/>
        <v>9.469206584057703E-2</v>
      </c>
      <c r="H10" s="14">
        <f t="shared" ref="H10:W12" si="4">(H3-C3)/C3</f>
        <v>-9.4114152856605866E-3</v>
      </c>
      <c r="I10" s="14">
        <f t="shared" si="4"/>
        <v>1.7691692511752198E-2</v>
      </c>
      <c r="J10" s="14">
        <f t="shared" si="4"/>
        <v>-5.6309648110494402E-2</v>
      </c>
      <c r="K10" s="14">
        <f t="shared" si="4"/>
        <v>5.6914526004302413E-2</v>
      </c>
      <c r="L10" s="14">
        <f t="shared" si="4"/>
        <v>0.20987720187442757</v>
      </c>
      <c r="M10" s="14">
        <f t="shared" si="4"/>
        <v>5.8832072333747161E-2</v>
      </c>
      <c r="N10" s="14">
        <f t="shared" si="4"/>
        <v>6.4447809253651248E-2</v>
      </c>
      <c r="O10" s="14">
        <f t="shared" si="4"/>
        <v>8.6631597336801439E-2</v>
      </c>
      <c r="P10" s="14">
        <f t="shared" si="4"/>
        <v>5.0672315343525509E-2</v>
      </c>
      <c r="Q10" s="14">
        <f t="shared" si="4"/>
        <v>-0.12853510112888053</v>
      </c>
      <c r="R10" s="14">
        <f t="shared" si="4"/>
        <v>8.1057284315503974E-3</v>
      </c>
      <c r="S10" s="14">
        <f t="shared" si="4"/>
        <v>6.4291051830777962E-2</v>
      </c>
      <c r="T10" s="14">
        <f t="shared" si="4"/>
        <v>4.2515183994283674E-2</v>
      </c>
      <c r="U10" s="14">
        <f t="shared" si="4"/>
        <v>4.4634561105169966E-2</v>
      </c>
      <c r="V10" s="14">
        <f t="shared" si="4"/>
        <v>4.7514231499051235E-2</v>
      </c>
      <c r="W10" s="14">
        <f t="shared" si="4"/>
        <v>4.965437029559569E-2</v>
      </c>
      <c r="X10" s="14"/>
      <c r="Y10" s="14"/>
      <c r="Z10" s="14"/>
      <c r="AA10" s="14"/>
      <c r="AB10" s="14"/>
    </row>
    <row r="11" spans="1:28" x14ac:dyDescent="0.15">
      <c r="B11" s="4" t="s">
        <v>18</v>
      </c>
      <c r="E11" s="14">
        <f t="shared" si="3"/>
        <v>3.8273234279875688E-2</v>
      </c>
      <c r="F11" s="14">
        <f t="shared" si="3"/>
        <v>4.7154338199114319E-3</v>
      </c>
      <c r="G11" s="14">
        <f t="shared" si="3"/>
        <v>0.18469167040770518</v>
      </c>
      <c r="H11" s="14">
        <f t="shared" si="4"/>
        <v>6.224172877396783E-2</v>
      </c>
      <c r="I11" s="14">
        <f t="shared" si="4"/>
        <v>0.26367661458555069</v>
      </c>
      <c r="J11" s="14">
        <f t="shared" si="4"/>
        <v>0.34490323109726095</v>
      </c>
      <c r="K11" s="14">
        <f t="shared" si="4"/>
        <v>0.52311961800595841</v>
      </c>
      <c r="L11" s="14">
        <f t="shared" si="4"/>
        <v>6.2335291179358217E-2</v>
      </c>
      <c r="M11" s="14">
        <f t="shared" si="4"/>
        <v>0.288264790426838</v>
      </c>
      <c r="N11" s="14">
        <f t="shared" si="4"/>
        <v>0.49044049524130379</v>
      </c>
      <c r="O11" s="14">
        <f t="shared" si="4"/>
        <v>0.41276543849753805</v>
      </c>
      <c r="P11" s="14">
        <f t="shared" si="4"/>
        <v>0.33979528951528631</v>
      </c>
      <c r="Q11" s="14">
        <f t="shared" si="4"/>
        <v>0.70946559439652379</v>
      </c>
      <c r="R11" s="14">
        <f t="shared" si="4"/>
        <v>0.47960441209115057</v>
      </c>
      <c r="S11" s="14">
        <f t="shared" si="4"/>
        <v>0.37481916817359856</v>
      </c>
      <c r="T11" s="14">
        <f t="shared" si="4"/>
        <v>0.4964392075618283</v>
      </c>
      <c r="U11" s="14">
        <f t="shared" si="4"/>
        <v>0.40945952702364879</v>
      </c>
      <c r="V11" s="14">
        <f t="shared" si="4"/>
        <v>0.36705775231663712</v>
      </c>
      <c r="W11" s="14">
        <f t="shared" si="4"/>
        <v>0.41081858487198458</v>
      </c>
      <c r="X11" s="14"/>
      <c r="Y11" s="14"/>
      <c r="Z11" s="14"/>
      <c r="AA11" s="14"/>
      <c r="AB11" s="14"/>
    </row>
    <row r="12" spans="1:28" x14ac:dyDescent="0.15">
      <c r="B12" s="4" t="s">
        <v>19</v>
      </c>
      <c r="E12" s="14">
        <f t="shared" si="3"/>
        <v>-0.1021908330931104</v>
      </c>
      <c r="F12" s="14">
        <f t="shared" si="3"/>
        <v>-9.4076095681489807E-2</v>
      </c>
      <c r="G12" s="14">
        <f t="shared" si="3"/>
        <v>0.16175793017898282</v>
      </c>
      <c r="H12" s="14">
        <f t="shared" si="4"/>
        <v>0.13573801613668723</v>
      </c>
      <c r="I12" s="14">
        <f t="shared" si="4"/>
        <v>0.20974344191409627</v>
      </c>
      <c r="J12" s="14">
        <f t="shared" si="4"/>
        <v>0.20433456413549528</v>
      </c>
      <c r="K12" s="14">
        <f t="shared" si="4"/>
        <v>0.16477051213893318</v>
      </c>
      <c r="L12" s="14">
        <f t="shared" si="4"/>
        <v>0.10134537356234175</v>
      </c>
      <c r="M12" s="14">
        <f t="shared" si="4"/>
        <v>0.17039478352742668</v>
      </c>
      <c r="N12" s="14">
        <f t="shared" si="4"/>
        <v>6.9413334604203403E-2</v>
      </c>
      <c r="O12" s="14">
        <f t="shared" si="4"/>
        <v>3.7431016556026556E-2</v>
      </c>
      <c r="P12" s="14">
        <f t="shared" si="4"/>
        <v>6.9011684518013636E-2</v>
      </c>
      <c r="Q12" s="14">
        <f t="shared" si="4"/>
        <v>6.3100745131713806E-2</v>
      </c>
      <c r="R12" s="14">
        <f t="shared" si="4"/>
        <v>5.9707625976825655E-2</v>
      </c>
      <c r="S12" s="14">
        <f t="shared" si="4"/>
        <v>6.3726910136143858E-2</v>
      </c>
      <c r="T12" s="14">
        <f t="shared" si="4"/>
        <v>0.14419345719939353</v>
      </c>
      <c r="U12" s="14">
        <f t="shared" si="4"/>
        <v>0.14724467721735171</v>
      </c>
      <c r="V12" s="14">
        <f t="shared" si="4"/>
        <v>0.13278094791422393</v>
      </c>
      <c r="W12" s="14">
        <f t="shared" si="4"/>
        <v>0.11913313795668233</v>
      </c>
      <c r="X12" s="14"/>
      <c r="Y12" s="14"/>
      <c r="Z12" s="14"/>
      <c r="AA12" s="14"/>
      <c r="AB12" s="14"/>
    </row>
    <row r="15" spans="1:28" x14ac:dyDescent="0.15">
      <c r="A15" s="4" t="s">
        <v>36</v>
      </c>
      <c r="B15" s="36" t="s">
        <v>17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8"/>
    </row>
    <row r="16" spans="1:28" x14ac:dyDescent="0.15">
      <c r="B16" s="39" t="s">
        <v>158</v>
      </c>
      <c r="C16" s="290">
        <v>30200</v>
      </c>
      <c r="D16" s="290"/>
      <c r="E16" s="290"/>
      <c r="F16" s="290"/>
      <c r="G16" s="290"/>
      <c r="H16" s="290">
        <v>32500</v>
      </c>
      <c r="I16" s="290"/>
      <c r="J16" s="290"/>
      <c r="K16" s="290"/>
      <c r="L16" s="290"/>
      <c r="M16" s="290">
        <v>35500</v>
      </c>
      <c r="N16" s="290"/>
      <c r="O16" s="290"/>
      <c r="P16" s="290"/>
      <c r="Q16" s="290"/>
      <c r="R16" s="290">
        <v>37400</v>
      </c>
      <c r="S16" s="290"/>
      <c r="T16" s="290"/>
      <c r="U16" s="290"/>
      <c r="V16" s="290"/>
      <c r="W16" s="290">
        <v>39300</v>
      </c>
      <c r="X16" s="2">
        <f>W16*(1+X17)</f>
        <v>41265</v>
      </c>
      <c r="Y16" s="2">
        <f t="shared" ref="Y16:AB16" si="5">X16*(1+Y17)</f>
        <v>43328.25</v>
      </c>
      <c r="Z16" s="2">
        <f t="shared" si="5"/>
        <v>45537.990749999997</v>
      </c>
      <c r="AA16" s="2">
        <f t="shared" si="5"/>
        <v>47860.428278249994</v>
      </c>
      <c r="AB16" s="40">
        <f t="shared" si="5"/>
        <v>50349.170548718997</v>
      </c>
    </row>
    <row r="17" spans="1:30" x14ac:dyDescent="0.15">
      <c r="B17" s="41" t="s">
        <v>156</v>
      </c>
      <c r="H17" s="34">
        <f>H16/C16-1</f>
        <v>7.6158940397351049E-2</v>
      </c>
      <c r="I17" s="34" t="e">
        <f t="shared" ref="I17:W17" si="6">I16/D16-1</f>
        <v>#DIV/0!</v>
      </c>
      <c r="J17" s="34" t="e">
        <f t="shared" si="6"/>
        <v>#DIV/0!</v>
      </c>
      <c r="K17" s="34" t="e">
        <f t="shared" si="6"/>
        <v>#DIV/0!</v>
      </c>
      <c r="L17" s="34" t="e">
        <f t="shared" si="6"/>
        <v>#DIV/0!</v>
      </c>
      <c r="M17" s="34">
        <f t="shared" si="6"/>
        <v>9.2307692307692202E-2</v>
      </c>
      <c r="N17" s="34" t="e">
        <f t="shared" si="6"/>
        <v>#DIV/0!</v>
      </c>
      <c r="O17" s="34" t="e">
        <f t="shared" si="6"/>
        <v>#DIV/0!</v>
      </c>
      <c r="P17" s="34" t="e">
        <f t="shared" si="6"/>
        <v>#DIV/0!</v>
      </c>
      <c r="Q17" s="34" t="e">
        <f t="shared" si="6"/>
        <v>#DIV/0!</v>
      </c>
      <c r="R17" s="34">
        <f t="shared" si="6"/>
        <v>5.3521126760563309E-2</v>
      </c>
      <c r="S17" s="34" t="e">
        <f t="shared" si="6"/>
        <v>#DIV/0!</v>
      </c>
      <c r="T17" s="34" t="e">
        <f t="shared" si="6"/>
        <v>#DIV/0!</v>
      </c>
      <c r="U17" s="34" t="e">
        <f t="shared" si="6"/>
        <v>#DIV/0!</v>
      </c>
      <c r="V17" s="34" t="e">
        <f t="shared" si="6"/>
        <v>#DIV/0!</v>
      </c>
      <c r="W17" s="34">
        <f t="shared" si="6"/>
        <v>5.0802139037433136E-2</v>
      </c>
      <c r="X17" s="34">
        <v>0.05</v>
      </c>
      <c r="Y17" s="34">
        <v>0.05</v>
      </c>
      <c r="Z17" s="34">
        <v>5.0999999999999997E-2</v>
      </c>
      <c r="AA17" s="34">
        <v>5.0999999999999997E-2</v>
      </c>
      <c r="AB17" s="42">
        <v>5.1999999999999998E-2</v>
      </c>
    </row>
    <row r="18" spans="1:30" x14ac:dyDescent="0.15">
      <c r="B18" s="57" t="s">
        <v>159</v>
      </c>
      <c r="C18" s="289">
        <f>C21/C16</f>
        <v>0.1914569536423841</v>
      </c>
      <c r="D18" s="289" t="e">
        <f t="shared" ref="D18:W18" si="7">D21/D16</f>
        <v>#DIV/0!</v>
      </c>
      <c r="E18" s="289" t="e">
        <f t="shared" si="7"/>
        <v>#DIV/0!</v>
      </c>
      <c r="F18" s="289" t="e">
        <f t="shared" si="7"/>
        <v>#DIV/0!</v>
      </c>
      <c r="G18" s="289" t="e">
        <f t="shared" si="7"/>
        <v>#DIV/0!</v>
      </c>
      <c r="H18" s="289">
        <f t="shared" si="7"/>
        <v>0.22175384615384616</v>
      </c>
      <c r="I18" s="289" t="e">
        <f t="shared" si="7"/>
        <v>#DIV/0!</v>
      </c>
      <c r="J18" s="289" t="e">
        <f t="shared" si="7"/>
        <v>#DIV/0!</v>
      </c>
      <c r="K18" s="289" t="e">
        <f t="shared" si="7"/>
        <v>#DIV/0!</v>
      </c>
      <c r="L18" s="289" t="e">
        <f t="shared" si="7"/>
        <v>#DIV/0!</v>
      </c>
      <c r="M18" s="289">
        <f t="shared" si="7"/>
        <v>0.22490140845070422</v>
      </c>
      <c r="N18" s="289" t="e">
        <f t="shared" si="7"/>
        <v>#DIV/0!</v>
      </c>
      <c r="O18" s="289" t="e">
        <f t="shared" si="7"/>
        <v>#DIV/0!</v>
      </c>
      <c r="P18" s="289" t="e">
        <f t="shared" si="7"/>
        <v>#DIV/0!</v>
      </c>
      <c r="Q18" s="289" t="e">
        <f t="shared" si="7"/>
        <v>#DIV/0!</v>
      </c>
      <c r="R18" s="289">
        <f t="shared" si="7"/>
        <v>0.23240641711229945</v>
      </c>
      <c r="S18" s="58" t="e">
        <f t="shared" si="7"/>
        <v>#DIV/0!</v>
      </c>
      <c r="T18" s="58" t="e">
        <f t="shared" si="7"/>
        <v>#DIV/0!</v>
      </c>
      <c r="U18" s="58" t="e">
        <f t="shared" si="7"/>
        <v>#DIV/0!</v>
      </c>
      <c r="V18" s="58" t="e">
        <f t="shared" si="7"/>
        <v>#DIV/0!</v>
      </c>
      <c r="W18" s="58">
        <f t="shared" si="7"/>
        <v>0.25162849872773535</v>
      </c>
      <c r="X18" s="58">
        <v>0.255</v>
      </c>
      <c r="Y18" s="58">
        <f t="shared" ref="Y18:AB18" si="8">X18+$AC18</f>
        <v>0.25600000000000001</v>
      </c>
      <c r="Z18" s="58">
        <f t="shared" si="8"/>
        <v>0.25700000000000001</v>
      </c>
      <c r="AA18" s="58">
        <f t="shared" si="8"/>
        <v>0.25800000000000001</v>
      </c>
      <c r="AB18" s="59">
        <f t="shared" si="8"/>
        <v>0.25900000000000001</v>
      </c>
      <c r="AC18" s="17">
        <v>1E-3</v>
      </c>
      <c r="AD18" s="4" t="s">
        <v>161</v>
      </c>
    </row>
    <row r="19" spans="1:30" x14ac:dyDescent="0.15">
      <c r="B19" s="39"/>
      <c r="AB19" s="43"/>
    </row>
    <row r="20" spans="1:30" x14ac:dyDescent="0.15">
      <c r="A20" s="4" t="s">
        <v>36</v>
      </c>
      <c r="B20" s="44" t="s">
        <v>129</v>
      </c>
      <c r="C20" s="13"/>
      <c r="E20" s="13"/>
      <c r="AB20" s="43"/>
    </row>
    <row r="21" spans="1:30" x14ac:dyDescent="0.15">
      <c r="B21" s="45" t="s">
        <v>130</v>
      </c>
      <c r="C21" s="290">
        <v>5782</v>
      </c>
      <c r="D21" s="290">
        <v>5846</v>
      </c>
      <c r="E21" s="290">
        <v>5972</v>
      </c>
      <c r="F21" s="290">
        <v>6241</v>
      </c>
      <c r="G21" s="290">
        <v>7207</v>
      </c>
      <c r="H21" s="290">
        <f>G21</f>
        <v>7207</v>
      </c>
      <c r="I21" s="290">
        <v>7359</v>
      </c>
      <c r="J21" s="290">
        <v>7523</v>
      </c>
      <c r="K21" s="290">
        <v>7650</v>
      </c>
      <c r="L21" s="290">
        <v>7984</v>
      </c>
      <c r="M21" s="290">
        <f>L21</f>
        <v>7984</v>
      </c>
      <c r="N21" s="290">
        <v>8045</v>
      </c>
      <c r="O21" s="290">
        <v>8164</v>
      </c>
      <c r="P21" s="290">
        <v>8295</v>
      </c>
      <c r="Q21" s="290">
        <v>8692</v>
      </c>
      <c r="R21" s="290">
        <f>Q21</f>
        <v>8692</v>
      </c>
      <c r="S21" s="290">
        <v>9097</v>
      </c>
      <c r="T21" s="290">
        <v>9383</v>
      </c>
      <c r="U21" s="290">
        <v>9508</v>
      </c>
      <c r="V21" s="290">
        <v>9889</v>
      </c>
      <c r="W21" s="290">
        <f>V21</f>
        <v>9889</v>
      </c>
      <c r="X21" s="2">
        <f>X16*X18</f>
        <v>10522.575000000001</v>
      </c>
      <c r="Y21" s="2">
        <f t="shared" ref="Y21:AB21" si="9">Y16*Y18</f>
        <v>11092.032000000001</v>
      </c>
      <c r="Z21" s="2">
        <f t="shared" si="9"/>
        <v>11703.263622749999</v>
      </c>
      <c r="AA21" s="2">
        <f t="shared" si="9"/>
        <v>12347.990495788499</v>
      </c>
      <c r="AB21" s="40">
        <f t="shared" si="9"/>
        <v>13040.435172118221</v>
      </c>
    </row>
    <row r="22" spans="1:30" s="60" customFormat="1" x14ac:dyDescent="0.15">
      <c r="B22" s="46" t="s">
        <v>160</v>
      </c>
      <c r="C22" s="47"/>
      <c r="D22" s="29"/>
      <c r="E22" s="30">
        <f>(E21-D21)/D21</f>
        <v>2.1553198768388643E-2</v>
      </c>
      <c r="F22" s="30">
        <f t="shared" ref="F22:G22" si="10">(F21-E21)/E21</f>
        <v>4.5043536503683861E-2</v>
      </c>
      <c r="G22" s="30">
        <f t="shared" si="10"/>
        <v>0.15478288735779522</v>
      </c>
      <c r="H22" s="30">
        <f>(H21-C21)/C21</f>
        <v>0.24645451400899343</v>
      </c>
      <c r="I22" s="30">
        <f t="shared" ref="I22:V22" si="11">(I21-D21)/D21</f>
        <v>0.25880944235374614</v>
      </c>
      <c r="J22" s="30">
        <f t="shared" si="11"/>
        <v>0.25971198928332218</v>
      </c>
      <c r="K22" s="30">
        <f t="shared" si="11"/>
        <v>0.22576510174651498</v>
      </c>
      <c r="L22" s="30">
        <f t="shared" si="11"/>
        <v>0.10781184959067573</v>
      </c>
      <c r="M22" s="30">
        <f>(M21-H21)/H21</f>
        <v>0.10781184959067573</v>
      </c>
      <c r="N22" s="30">
        <f t="shared" si="11"/>
        <v>9.3219187389590979E-2</v>
      </c>
      <c r="O22" s="30">
        <f t="shared" si="11"/>
        <v>8.520537019805928E-2</v>
      </c>
      <c r="P22" s="30">
        <f t="shared" si="11"/>
        <v>8.4313725490196084E-2</v>
      </c>
      <c r="Q22" s="30">
        <f t="shared" si="11"/>
        <v>8.8677354709418843E-2</v>
      </c>
      <c r="R22" s="30">
        <f>(R21-M21)/M21</f>
        <v>8.8677354709418843E-2</v>
      </c>
      <c r="S22" s="30">
        <f t="shared" si="11"/>
        <v>0.13076444996892481</v>
      </c>
      <c r="T22" s="30">
        <f t="shared" si="11"/>
        <v>0.14931406173444389</v>
      </c>
      <c r="U22" s="30">
        <f t="shared" si="11"/>
        <v>0.1462326702833032</v>
      </c>
      <c r="V22" s="30">
        <f t="shared" si="11"/>
        <v>0.13771283939254486</v>
      </c>
      <c r="W22" s="30">
        <f>(W21-R21)/R21</f>
        <v>0.13771283939254486</v>
      </c>
      <c r="X22" s="30">
        <f>X21/W21-1</f>
        <v>6.406866214986362E-2</v>
      </c>
      <c r="Y22" s="30">
        <f t="shared" ref="Y22:AB22" si="12">Y21/X21-1</f>
        <v>5.4117647058823604E-2</v>
      </c>
      <c r="Z22" s="30">
        <f t="shared" si="12"/>
        <v>5.5105468749999886E-2</v>
      </c>
      <c r="AA22" s="30">
        <f t="shared" si="12"/>
        <v>5.5089494163424124E-2</v>
      </c>
      <c r="AB22" s="61">
        <f t="shared" si="12"/>
        <v>5.6077519379845064E-2</v>
      </c>
    </row>
    <row r="23" spans="1:30" x14ac:dyDescent="0.15">
      <c r="B23" s="45" t="s">
        <v>131</v>
      </c>
      <c r="C23" s="290">
        <v>7028</v>
      </c>
      <c r="D23" s="290">
        <v>6986</v>
      </c>
      <c r="E23" s="290">
        <v>7171</v>
      </c>
      <c r="F23" s="290">
        <v>7085</v>
      </c>
      <c r="G23" s="290">
        <v>7192</v>
      </c>
      <c r="H23" s="290">
        <f>G23</f>
        <v>7192</v>
      </c>
      <c r="I23" s="290">
        <v>7095</v>
      </c>
      <c r="J23" s="290">
        <v>7023</v>
      </c>
      <c r="K23" s="290">
        <v>6849</v>
      </c>
      <c r="L23" s="290">
        <v>6933</v>
      </c>
      <c r="M23" s="290">
        <f>L23</f>
        <v>6933</v>
      </c>
      <c r="N23" s="290">
        <v>6954</v>
      </c>
      <c r="O23" s="290">
        <v>6831</v>
      </c>
      <c r="P23" s="290">
        <v>6984</v>
      </c>
      <c r="Q23" s="290">
        <v>7006</v>
      </c>
      <c r="R23" s="290">
        <f>Q23</f>
        <v>7006</v>
      </c>
      <c r="S23" s="290">
        <v>6913</v>
      </c>
      <c r="T23" s="290">
        <v>6898</v>
      </c>
      <c r="U23" s="290">
        <v>6955</v>
      </c>
      <c r="V23" s="290">
        <v>7144</v>
      </c>
      <c r="W23" s="290">
        <f>V23</f>
        <v>7144</v>
      </c>
      <c r="X23" s="2">
        <f>W23*(1+X24)</f>
        <v>7286.88</v>
      </c>
      <c r="Y23" s="2">
        <f t="shared" ref="Y23:AB23" si="13">X23*(1+Y24)</f>
        <v>7541.9207999999999</v>
      </c>
      <c r="Z23" s="2">
        <f t="shared" si="13"/>
        <v>7843.597632</v>
      </c>
      <c r="AA23" s="2">
        <f t="shared" si="13"/>
        <v>8165.1851349119997</v>
      </c>
      <c r="AB23" s="40">
        <f t="shared" si="13"/>
        <v>8508.1229105783041</v>
      </c>
    </row>
    <row r="24" spans="1:30" x14ac:dyDescent="0.15">
      <c r="B24" s="46" t="s">
        <v>160</v>
      </c>
      <c r="C24" s="1"/>
      <c r="D24" s="2"/>
      <c r="E24" s="2"/>
      <c r="F24" s="2"/>
      <c r="G24" s="2"/>
      <c r="H24" s="30">
        <f>H23/C23-1</f>
        <v>2.333523050654529E-2</v>
      </c>
      <c r="I24" s="30">
        <f t="shared" ref="I24:V24" si="14">I23/D23-1</f>
        <v>1.5602633839106872E-2</v>
      </c>
      <c r="J24" s="30">
        <f t="shared" si="14"/>
        <v>-2.0638683586668538E-2</v>
      </c>
      <c r="K24" s="30">
        <f t="shared" si="14"/>
        <v>-3.3309809456598449E-2</v>
      </c>
      <c r="L24" s="30">
        <f t="shared" si="14"/>
        <v>-3.6012235817575067E-2</v>
      </c>
      <c r="M24" s="30">
        <f>M23/H23-1</f>
        <v>-3.6012235817575067E-2</v>
      </c>
      <c r="N24" s="30">
        <f t="shared" si="14"/>
        <v>-1.9873150105708226E-2</v>
      </c>
      <c r="O24" s="30">
        <f t="shared" si="14"/>
        <v>-2.7338744126441661E-2</v>
      </c>
      <c r="P24" s="30">
        <f t="shared" si="14"/>
        <v>1.9710906701708275E-2</v>
      </c>
      <c r="Q24" s="30">
        <f t="shared" si="14"/>
        <v>1.0529352372710132E-2</v>
      </c>
      <c r="R24" s="30">
        <f>R23/M23-1</f>
        <v>1.0529352372710132E-2</v>
      </c>
      <c r="S24" s="30">
        <f t="shared" si="14"/>
        <v>-5.8958872591314826E-3</v>
      </c>
      <c r="T24" s="30">
        <f t="shared" si="14"/>
        <v>9.8082271995314496E-3</v>
      </c>
      <c r="U24" s="30">
        <f t="shared" si="14"/>
        <v>-4.1523482245131582E-3</v>
      </c>
      <c r="V24" s="30">
        <f t="shared" si="14"/>
        <v>1.9697402226662941E-2</v>
      </c>
      <c r="W24" s="30">
        <f>W23/R23-1</f>
        <v>1.9697402226662941E-2</v>
      </c>
      <c r="X24" s="62">
        <v>0.02</v>
      </c>
      <c r="Y24" s="62">
        <v>3.5000000000000003E-2</v>
      </c>
      <c r="Z24" s="62">
        <v>0.04</v>
      </c>
      <c r="AA24" s="62">
        <f t="shared" ref="AA24:AB24" si="15">Z24+$AC24</f>
        <v>4.1000000000000002E-2</v>
      </c>
      <c r="AB24" s="63">
        <f t="shared" si="15"/>
        <v>4.2000000000000003E-2</v>
      </c>
      <c r="AC24" s="17">
        <v>1E-3</v>
      </c>
      <c r="AD24" s="4" t="s">
        <v>161</v>
      </c>
    </row>
    <row r="25" spans="1:30" x14ac:dyDescent="0.15">
      <c r="B25" s="50" t="s">
        <v>133</v>
      </c>
      <c r="C25" s="25">
        <f t="shared" ref="C25:W25" si="16">SUM(C23,C21)</f>
        <v>12810</v>
      </c>
      <c r="D25" s="25">
        <f t="shared" si="16"/>
        <v>12832</v>
      </c>
      <c r="E25" s="25">
        <f t="shared" si="16"/>
        <v>13143</v>
      </c>
      <c r="F25" s="25">
        <f t="shared" si="16"/>
        <v>13326</v>
      </c>
      <c r="G25" s="25">
        <f t="shared" si="16"/>
        <v>14399</v>
      </c>
      <c r="H25" s="26">
        <f t="shared" si="16"/>
        <v>14399</v>
      </c>
      <c r="I25" s="26">
        <f t="shared" si="16"/>
        <v>14454</v>
      </c>
      <c r="J25" s="26">
        <f t="shared" si="16"/>
        <v>14546</v>
      </c>
      <c r="K25" s="26">
        <f t="shared" si="16"/>
        <v>14499</v>
      </c>
      <c r="L25" s="26">
        <f t="shared" si="16"/>
        <v>14917</v>
      </c>
      <c r="M25" s="26">
        <f t="shared" si="16"/>
        <v>14917</v>
      </c>
      <c r="N25" s="26">
        <f t="shared" si="16"/>
        <v>14999</v>
      </c>
      <c r="O25" s="26">
        <f t="shared" si="16"/>
        <v>14995</v>
      </c>
      <c r="P25" s="26">
        <f t="shared" si="16"/>
        <v>15279</v>
      </c>
      <c r="Q25" s="26">
        <f t="shared" si="16"/>
        <v>15698</v>
      </c>
      <c r="R25" s="26">
        <f t="shared" si="16"/>
        <v>15698</v>
      </c>
      <c r="S25" s="26">
        <f t="shared" si="16"/>
        <v>16010</v>
      </c>
      <c r="T25" s="26">
        <f t="shared" si="16"/>
        <v>16281</v>
      </c>
      <c r="U25" s="26">
        <f t="shared" si="16"/>
        <v>16463</v>
      </c>
      <c r="V25" s="26">
        <f t="shared" si="16"/>
        <v>17033</v>
      </c>
      <c r="W25" s="26">
        <f t="shared" si="16"/>
        <v>17033</v>
      </c>
      <c r="X25" s="26">
        <f t="shared" ref="X25:AB25" si="17">SUM(X23,X21)</f>
        <v>17809.455000000002</v>
      </c>
      <c r="Y25" s="26">
        <f t="shared" si="17"/>
        <v>18633.952799999999</v>
      </c>
      <c r="Z25" s="26">
        <f t="shared" si="17"/>
        <v>19546.861254749998</v>
      </c>
      <c r="AA25" s="26">
        <f t="shared" si="17"/>
        <v>20513.175630700498</v>
      </c>
      <c r="AB25" s="51">
        <f t="shared" si="17"/>
        <v>21548.558082696523</v>
      </c>
    </row>
    <row r="26" spans="1:30" x14ac:dyDescent="0.15">
      <c r="B26" s="41" t="s">
        <v>156</v>
      </c>
      <c r="C26" s="27"/>
      <c r="D26" s="27"/>
      <c r="E26" s="27"/>
      <c r="F26" s="27"/>
      <c r="G26" s="27"/>
      <c r="H26" s="30">
        <f>H25/C25-1</f>
        <v>0.12404371584699447</v>
      </c>
      <c r="I26" s="30">
        <f t="shared" ref="I26:W26" si="18">I25/D25-1</f>
        <v>0.12640274314214461</v>
      </c>
      <c r="J26" s="30">
        <f t="shared" si="18"/>
        <v>0.10674883968652504</v>
      </c>
      <c r="K26" s="30">
        <f t="shared" si="18"/>
        <v>8.8023412877082485E-2</v>
      </c>
      <c r="L26" s="30">
        <f t="shared" si="18"/>
        <v>3.5974720466699139E-2</v>
      </c>
      <c r="M26" s="30">
        <f t="shared" si="18"/>
        <v>3.5974720466699139E-2</v>
      </c>
      <c r="N26" s="30">
        <f t="shared" si="18"/>
        <v>3.7705825377058355E-2</v>
      </c>
      <c r="O26" s="30">
        <f t="shared" si="18"/>
        <v>3.0867592465282589E-2</v>
      </c>
      <c r="P26" s="30">
        <f t="shared" si="18"/>
        <v>5.3796813573349977E-2</v>
      </c>
      <c r="Q26" s="30">
        <f t="shared" si="18"/>
        <v>5.2356371924649814E-2</v>
      </c>
      <c r="R26" s="30">
        <f t="shared" si="18"/>
        <v>5.2356371924649814E-2</v>
      </c>
      <c r="S26" s="30">
        <f t="shared" si="18"/>
        <v>6.7404493632908791E-2</v>
      </c>
      <c r="T26" s="30">
        <f t="shared" si="18"/>
        <v>8.5761920640213374E-2</v>
      </c>
      <c r="U26" s="30">
        <f t="shared" si="18"/>
        <v>7.7491982459584996E-2</v>
      </c>
      <c r="V26" s="30">
        <f t="shared" si="18"/>
        <v>8.5042680596254305E-2</v>
      </c>
      <c r="W26" s="30">
        <f t="shared" si="18"/>
        <v>8.5042680596254305E-2</v>
      </c>
      <c r="X26" s="30">
        <f>X25/W25-1</f>
        <v>4.5585334350965789E-2</v>
      </c>
      <c r="Y26" s="30">
        <f t="shared" ref="Y26:AB26" si="19">Y25/X25-1</f>
        <v>4.629550988505815E-2</v>
      </c>
      <c r="Z26" s="30">
        <f t="shared" si="19"/>
        <v>4.8991669376236668E-2</v>
      </c>
      <c r="AA26" s="30">
        <f t="shared" si="19"/>
        <v>4.9435782213662627E-2</v>
      </c>
      <c r="AB26" s="61">
        <f t="shared" si="19"/>
        <v>5.0474020728728419E-2</v>
      </c>
    </row>
    <row r="27" spans="1:30" x14ac:dyDescent="0.15">
      <c r="B27" s="53"/>
      <c r="C27" s="27"/>
      <c r="D27" s="27"/>
      <c r="E27" s="27"/>
      <c r="F27" s="27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52"/>
    </row>
    <row r="28" spans="1:30" x14ac:dyDescent="0.15">
      <c r="B28" s="39" t="s">
        <v>157</v>
      </c>
      <c r="C28" s="291">
        <f t="shared" ref="C28:W28" si="20">C3/C25</f>
        <v>33.64293520686963</v>
      </c>
      <c r="D28" s="291">
        <f t="shared" si="20"/>
        <v>7.9904925187032418</v>
      </c>
      <c r="E28" s="291">
        <f t="shared" si="20"/>
        <v>8.3072357909153158</v>
      </c>
      <c r="F28" s="291">
        <f t="shared" si="20"/>
        <v>7.7092150682875582</v>
      </c>
      <c r="G28" s="291">
        <f t="shared" si="20"/>
        <v>7.8103340509757624</v>
      </c>
      <c r="H28" s="291">
        <f t="shared" si="20"/>
        <v>29.648586707410235</v>
      </c>
      <c r="I28" s="291">
        <f t="shared" si="20"/>
        <v>7.2193164521931648</v>
      </c>
      <c r="J28" s="291">
        <f t="shared" si="20"/>
        <v>7.0833218754296716</v>
      </c>
      <c r="K28" s="291">
        <f t="shared" si="20"/>
        <v>7.4887923305055519</v>
      </c>
      <c r="L28" s="291">
        <f t="shared" si="20"/>
        <v>9.121405108265737</v>
      </c>
      <c r="M28" s="291">
        <f t="shared" si="20"/>
        <v>30.302741838171215</v>
      </c>
      <c r="N28" s="291">
        <f t="shared" si="20"/>
        <v>7.4053603573571571</v>
      </c>
      <c r="O28" s="291">
        <f t="shared" si="20"/>
        <v>7.4664888296098697</v>
      </c>
      <c r="P28" s="291">
        <f t="shared" si="20"/>
        <v>7.466588127495255</v>
      </c>
      <c r="Q28" s="291">
        <f t="shared" si="20"/>
        <v>7.5535100012740477</v>
      </c>
      <c r="R28" s="291">
        <f t="shared" si="20"/>
        <v>29.028538667346158</v>
      </c>
      <c r="S28" s="291">
        <f t="shared" si="20"/>
        <v>7.3837601499063084</v>
      </c>
      <c r="T28" s="291">
        <f t="shared" si="20"/>
        <v>7.169092807567103</v>
      </c>
      <c r="U28" s="291">
        <f t="shared" si="20"/>
        <v>7.2388993500577055</v>
      </c>
      <c r="V28" s="291">
        <f t="shared" si="20"/>
        <v>7.2922562085363705</v>
      </c>
      <c r="W28" s="291">
        <f t="shared" si="20"/>
        <v>28.081782422356603</v>
      </c>
      <c r="X28" s="68">
        <f>W28*(1+X29)</f>
        <v>27.589413702622259</v>
      </c>
      <c r="Y28" s="68">
        <f t="shared" ref="Y28:AB28" si="21">X28*(1+Y29)</f>
        <v>27.133267287214313</v>
      </c>
      <c r="Z28" s="68">
        <f t="shared" si="21"/>
        <v>26.711795783672631</v>
      </c>
      <c r="AA28" s="68">
        <f t="shared" si="21"/>
        <v>26.323582955301365</v>
      </c>
      <c r="AB28" s="69">
        <f t="shared" si="21"/>
        <v>25.967335756617583</v>
      </c>
      <c r="AC28" s="17"/>
    </row>
    <row r="29" spans="1:30" x14ac:dyDescent="0.15">
      <c r="B29" s="54" t="s">
        <v>156</v>
      </c>
      <c r="C29" s="55"/>
      <c r="D29" s="55"/>
      <c r="E29" s="55"/>
      <c r="F29" s="55"/>
      <c r="G29" s="55"/>
      <c r="H29" s="56">
        <f>H28/C28-1</f>
        <v>-0.11872770538296495</v>
      </c>
      <c r="I29" s="56">
        <f t="shared" ref="I29:W29" si="22">I28/D28-1</f>
        <v>-9.6511706218984084E-2</v>
      </c>
      <c r="J29" s="56">
        <f t="shared" si="22"/>
        <v>-0.14733106731171641</v>
      </c>
      <c r="K29" s="56">
        <f t="shared" si="22"/>
        <v>-2.8592111626089101E-2</v>
      </c>
      <c r="L29" s="56">
        <f t="shared" si="22"/>
        <v>0.16786363409464911</v>
      </c>
      <c r="M29" s="56">
        <f t="shared" si="22"/>
        <v>2.206361932919676E-2</v>
      </c>
      <c r="N29" s="56">
        <f t="shared" si="22"/>
        <v>2.5770293683063938E-2</v>
      </c>
      <c r="O29" s="56">
        <f t="shared" si="22"/>
        <v>5.4094245739320534E-2</v>
      </c>
      <c r="P29" s="56">
        <f t="shared" si="22"/>
        <v>-2.964991153493246E-3</v>
      </c>
      <c r="Q29" s="56">
        <f t="shared" si="22"/>
        <v>-0.17189183995028101</v>
      </c>
      <c r="R29" s="56">
        <f t="shared" si="22"/>
        <v>-4.2049104916968005E-2</v>
      </c>
      <c r="S29" s="56">
        <f t="shared" si="22"/>
        <v>-2.9168340780862945E-3</v>
      </c>
      <c r="T29" s="56">
        <f t="shared" si="22"/>
        <v>-3.9830773048689649E-2</v>
      </c>
      <c r="U29" s="56">
        <f t="shared" si="22"/>
        <v>-3.0494353451625322E-2</v>
      </c>
      <c r="V29" s="56">
        <f t="shared" si="22"/>
        <v>-3.4587071797563151E-2</v>
      </c>
      <c r="W29" s="56">
        <f t="shared" si="22"/>
        <v>-3.2614671232298331E-2</v>
      </c>
      <c r="X29" s="65">
        <f>AVERAGE(M29,R29,W29)</f>
        <v>-1.753338560668986E-2</v>
      </c>
      <c r="Y29" s="65">
        <f>X29+$AC29</f>
        <v>-1.6533385606689859E-2</v>
      </c>
      <c r="Z29" s="66">
        <f t="shared" ref="Z29:AB29" si="23">Y29+$AC29</f>
        <v>-1.5533385606689858E-2</v>
      </c>
      <c r="AA29" s="66">
        <f t="shared" si="23"/>
        <v>-1.4533385606689857E-2</v>
      </c>
      <c r="AB29" s="67">
        <f t="shared" si="23"/>
        <v>-1.3533385606689857E-2</v>
      </c>
      <c r="AC29" s="17">
        <v>1E-3</v>
      </c>
      <c r="AD29" s="4" t="s">
        <v>162</v>
      </c>
    </row>
    <row r="30" spans="1:30" x14ac:dyDescent="0.15">
      <c r="B30" s="19"/>
      <c r="C30" s="27"/>
      <c r="D30" s="27"/>
      <c r="E30" s="27"/>
      <c r="F30" s="27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30" x14ac:dyDescent="0.15">
      <c r="D31" s="16"/>
      <c r="E31" s="3">
        <f>(E25-D25)/D25</f>
        <v>2.4236284289276808E-2</v>
      </c>
      <c r="F31" s="3">
        <f>(F25-E25)/E25</f>
        <v>1.392376169824241E-2</v>
      </c>
      <c r="G31" s="3">
        <f>(G25-F25)/F25</f>
        <v>8.0519285607083893E-2</v>
      </c>
      <c r="H31" s="3"/>
      <c r="I31" s="3">
        <f>(I25-G25)/G25</f>
        <v>3.8197097020626434E-3</v>
      </c>
      <c r="J31" s="3">
        <f>(J25-I25)/I25</f>
        <v>6.3650200636502004E-3</v>
      </c>
      <c r="K31" s="3">
        <f>(K25-J25)/J25</f>
        <v>-3.2311288326687749E-3</v>
      </c>
      <c r="L31" s="3">
        <f>(L25-K25)/K25</f>
        <v>2.882957445341058E-2</v>
      </c>
      <c r="M31" s="3"/>
      <c r="N31" s="3">
        <f>(N25-L25)/L25</f>
        <v>5.4970838640477308E-3</v>
      </c>
      <c r="O31" s="3">
        <f>(O25-N25)/N25</f>
        <v>-2.6668444562970864E-4</v>
      </c>
      <c r="P31" s="3">
        <f>(P25-O25)/O25</f>
        <v>1.8939646548849616E-2</v>
      </c>
      <c r="Q31" s="3">
        <f>(Q25-P25)/P25</f>
        <v>2.7423260684599778E-2</v>
      </c>
      <c r="R31" s="3"/>
      <c r="S31" s="3">
        <f>(S25-Q25)/Q25</f>
        <v>1.9875143330360556E-2</v>
      </c>
      <c r="T31" s="3">
        <f>(T25-S25)/S25</f>
        <v>1.6926920674578388E-2</v>
      </c>
      <c r="U31" s="3">
        <f>(U25-T25)/T25</f>
        <v>1.1178674528591609E-2</v>
      </c>
      <c r="V31" s="3">
        <f>(V25-U25)/U25</f>
        <v>3.4623094211261619E-2</v>
      </c>
      <c r="W31" s="3"/>
      <c r="X31" s="3"/>
      <c r="Y31" s="3"/>
      <c r="Z31" s="3"/>
      <c r="AA31" s="3"/>
      <c r="AB31" s="3"/>
    </row>
    <row r="32" spans="1:30" x14ac:dyDescent="0.15">
      <c r="A32" s="4" t="s">
        <v>36</v>
      </c>
      <c r="B32" s="19" t="s">
        <v>18</v>
      </c>
      <c r="D32" s="1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2:29" x14ac:dyDescent="0.15">
      <c r="B33" s="73" t="s">
        <v>150</v>
      </c>
      <c r="C33" s="74">
        <f>(C42/C50/12)/100</f>
        <v>3.9714938833128634E-2</v>
      </c>
      <c r="D33" s="74">
        <f t="shared" ref="D33:W33" si="24">(D42/D50/12)/100</f>
        <v>0</v>
      </c>
      <c r="E33" s="74">
        <f t="shared" si="24"/>
        <v>0</v>
      </c>
      <c r="F33" s="74">
        <f t="shared" si="24"/>
        <v>0</v>
      </c>
      <c r="G33" s="74">
        <f t="shared" si="24"/>
        <v>0</v>
      </c>
      <c r="H33" s="74">
        <f t="shared" si="24"/>
        <v>4.5501092421879802E-2</v>
      </c>
      <c r="I33" s="74">
        <f t="shared" si="24"/>
        <v>0</v>
      </c>
      <c r="J33" s="74">
        <f t="shared" si="24"/>
        <v>0</v>
      </c>
      <c r="K33" s="74">
        <f t="shared" si="24"/>
        <v>0</v>
      </c>
      <c r="L33" s="74">
        <f t="shared" si="24"/>
        <v>0</v>
      </c>
      <c r="M33" s="74">
        <f t="shared" si="24"/>
        <v>4.4040747826950735E-2</v>
      </c>
      <c r="N33" s="74">
        <f t="shared" si="24"/>
        <v>0</v>
      </c>
      <c r="O33" s="74">
        <f t="shared" si="24"/>
        <v>0</v>
      </c>
      <c r="P33" s="74">
        <f t="shared" si="24"/>
        <v>0</v>
      </c>
      <c r="Q33" s="74">
        <f t="shared" si="24"/>
        <v>0</v>
      </c>
      <c r="R33" s="74">
        <f t="shared" si="24"/>
        <v>3.2096435127349561E-2</v>
      </c>
      <c r="S33" s="74">
        <f t="shared" si="24"/>
        <v>0</v>
      </c>
      <c r="T33" s="74">
        <f t="shared" si="24"/>
        <v>0</v>
      </c>
      <c r="U33" s="74">
        <f t="shared" si="24"/>
        <v>0</v>
      </c>
      <c r="V33" s="74">
        <f t="shared" si="24"/>
        <v>0</v>
      </c>
      <c r="W33" s="74">
        <f t="shared" si="24"/>
        <v>2.6202124058064685E-2</v>
      </c>
      <c r="X33" s="240">
        <v>3.5000000000000003E-2</v>
      </c>
      <c r="Y33" s="240">
        <v>3.7499999999999999E-2</v>
      </c>
      <c r="Z33" s="240">
        <v>3.95E-2</v>
      </c>
      <c r="AA33" s="240">
        <v>3.95E-2</v>
      </c>
      <c r="AB33" s="241">
        <v>3.95E-2</v>
      </c>
    </row>
    <row r="34" spans="2:29" x14ac:dyDescent="0.15">
      <c r="B34" s="45" t="s">
        <v>153</v>
      </c>
      <c r="C34" s="33">
        <f>(C44/C51/12)/100</f>
        <v>6.7213804493373733E-2</v>
      </c>
      <c r="D34" s="33">
        <f t="shared" ref="D34:W34" si="25">(D44/D51/12)/100</f>
        <v>0</v>
      </c>
      <c r="E34" s="33">
        <f t="shared" si="25"/>
        <v>0</v>
      </c>
      <c r="F34" s="33">
        <f t="shared" si="25"/>
        <v>0</v>
      </c>
      <c r="G34" s="33">
        <f t="shared" si="25"/>
        <v>0</v>
      </c>
      <c r="H34" s="33">
        <f t="shared" si="25"/>
        <v>6.2901905449620751E-2</v>
      </c>
      <c r="I34" s="33">
        <f t="shared" si="25"/>
        <v>0</v>
      </c>
      <c r="J34" s="33">
        <f t="shared" si="25"/>
        <v>0</v>
      </c>
      <c r="K34" s="33">
        <f t="shared" si="25"/>
        <v>0</v>
      </c>
      <c r="L34" s="33">
        <f t="shared" si="25"/>
        <v>0</v>
      </c>
      <c r="M34" s="33">
        <f t="shared" si="25"/>
        <v>4.7957008252780556E-2</v>
      </c>
      <c r="N34" s="33">
        <f t="shared" si="25"/>
        <v>0</v>
      </c>
      <c r="O34" s="33">
        <f t="shared" si="25"/>
        <v>0</v>
      </c>
      <c r="P34" s="33">
        <f t="shared" si="25"/>
        <v>0</v>
      </c>
      <c r="Q34" s="33">
        <f t="shared" si="25"/>
        <v>0</v>
      </c>
      <c r="R34" s="33">
        <f t="shared" si="25"/>
        <v>3.3117509074197464E-2</v>
      </c>
      <c r="S34" s="33">
        <f t="shared" si="25"/>
        <v>0</v>
      </c>
      <c r="T34" s="33">
        <f t="shared" si="25"/>
        <v>0</v>
      </c>
      <c r="U34" s="33">
        <f t="shared" si="25"/>
        <v>0</v>
      </c>
      <c r="V34" s="33">
        <f t="shared" si="25"/>
        <v>0</v>
      </c>
      <c r="W34" s="33">
        <f t="shared" si="25"/>
        <v>2.2696131523554316E-2</v>
      </c>
      <c r="X34" s="242">
        <f>AVERAGE(H34,M34,R34,W34)</f>
        <v>4.1668138575038274E-2</v>
      </c>
      <c r="Y34" s="242">
        <v>4.1668138575038274E-2</v>
      </c>
      <c r="Z34" s="242">
        <v>4.1668138575038274E-2</v>
      </c>
      <c r="AA34" s="242">
        <v>4.1668138575038274E-2</v>
      </c>
      <c r="AB34" s="243">
        <v>4.1668138575038274E-2</v>
      </c>
    </row>
    <row r="35" spans="2:29" x14ac:dyDescent="0.15">
      <c r="B35" s="39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6"/>
    </row>
    <row r="36" spans="2:29" x14ac:dyDescent="0.15">
      <c r="B36" s="44" t="s">
        <v>132</v>
      </c>
      <c r="C36" s="77"/>
      <c r="AB36" s="43"/>
    </row>
    <row r="37" spans="2:29" x14ac:dyDescent="0.15">
      <c r="B37" s="53" t="s">
        <v>134</v>
      </c>
      <c r="C37" s="290">
        <v>10119</v>
      </c>
      <c r="D37" s="290">
        <v>10026</v>
      </c>
      <c r="E37" s="290">
        <v>10028</v>
      </c>
      <c r="F37" s="290">
        <v>10469</v>
      </c>
      <c r="G37" s="290">
        <v>12943</v>
      </c>
      <c r="H37" s="290">
        <f>G37</f>
        <v>12943</v>
      </c>
      <c r="I37" s="290">
        <v>12935</v>
      </c>
      <c r="J37" s="290">
        <v>13097</v>
      </c>
      <c r="K37" s="290">
        <v>13096</v>
      </c>
      <c r="L37" s="290">
        <v>14199</v>
      </c>
      <c r="M37" s="290">
        <f>L37</f>
        <v>14199</v>
      </c>
      <c r="N37" s="290">
        <v>14113</v>
      </c>
      <c r="O37" s="290">
        <v>14021</v>
      </c>
      <c r="P37" s="290">
        <v>13971</v>
      </c>
      <c r="Q37" s="290">
        <v>15006</v>
      </c>
      <c r="R37" s="290">
        <f>Q37</f>
        <v>15006</v>
      </c>
      <c r="S37" s="290">
        <v>15850</v>
      </c>
      <c r="T37" s="290">
        <v>16368</v>
      </c>
      <c r="U37" s="290">
        <v>16386</v>
      </c>
      <c r="V37" s="290">
        <v>17435</v>
      </c>
      <c r="W37" s="290">
        <f>V37</f>
        <v>17435</v>
      </c>
      <c r="X37" s="2">
        <f>X55*X21</f>
        <v>18591.155127489765</v>
      </c>
      <c r="Y37" s="2">
        <f>Y55*Y21</f>
        <v>19638.586622521525</v>
      </c>
      <c r="Z37" s="2">
        <f>Z55*Z21</f>
        <v>20764.471062221226</v>
      </c>
      <c r="AA37" s="2">
        <f>AA55*AA21</f>
        <v>21954.570298313738</v>
      </c>
      <c r="AB37" s="40">
        <f>AB55*AB21</f>
        <v>23234.616538022918</v>
      </c>
    </row>
    <row r="38" spans="2:29" x14ac:dyDescent="0.15">
      <c r="B38" s="41" t="s">
        <v>137</v>
      </c>
      <c r="C38" s="2"/>
      <c r="D38" s="2"/>
      <c r="E38" s="48">
        <f>(E37-D37)/D37</f>
        <v>1.9948134849391582E-4</v>
      </c>
      <c r="F38" s="48">
        <f t="shared" ref="F38:G38" si="26">(F37-E37)/E37</f>
        <v>4.3976864778619867E-2</v>
      </c>
      <c r="G38" s="48">
        <f t="shared" si="26"/>
        <v>0.23631674467475403</v>
      </c>
      <c r="H38" s="30">
        <f>(H37-C37)/C37</f>
        <v>0.2790789603715782</v>
      </c>
      <c r="I38" s="30">
        <f t="shared" ref="I38:W38" si="27">(I37-D37)/D37</f>
        <v>0.29014562138440053</v>
      </c>
      <c r="J38" s="30">
        <f t="shared" si="27"/>
        <v>0.30604307937774233</v>
      </c>
      <c r="K38" s="30">
        <f t="shared" si="27"/>
        <v>0.25093132104307958</v>
      </c>
      <c r="L38" s="30">
        <f t="shared" si="27"/>
        <v>9.704087151355946E-2</v>
      </c>
      <c r="M38" s="30">
        <f t="shared" si="27"/>
        <v>9.704087151355946E-2</v>
      </c>
      <c r="N38" s="30">
        <f t="shared" si="27"/>
        <v>9.1070738306919211E-2</v>
      </c>
      <c r="O38" s="30">
        <f t="shared" si="27"/>
        <v>7.0550507749866376E-2</v>
      </c>
      <c r="P38" s="30">
        <f t="shared" si="27"/>
        <v>6.6814294441050706E-2</v>
      </c>
      <c r="Q38" s="30">
        <f t="shared" si="27"/>
        <v>5.6834988379463346E-2</v>
      </c>
      <c r="R38" s="30">
        <f t="shared" si="27"/>
        <v>5.6834988379463346E-2</v>
      </c>
      <c r="S38" s="30">
        <f t="shared" si="27"/>
        <v>0.1230780131793382</v>
      </c>
      <c r="T38" s="30">
        <f t="shared" si="27"/>
        <v>0.16739176948862422</v>
      </c>
      <c r="U38" s="30">
        <f t="shared" si="27"/>
        <v>0.17285806313077087</v>
      </c>
      <c r="V38" s="30">
        <f t="shared" si="27"/>
        <v>0.16186858589897374</v>
      </c>
      <c r="W38" s="30">
        <f t="shared" si="27"/>
        <v>0.16186858589897374</v>
      </c>
      <c r="X38" s="30">
        <f>X37/W37-1</f>
        <v>6.631231015140604E-2</v>
      </c>
      <c r="Y38" s="30">
        <f>Y37/X37-1</f>
        <v>5.6340312791160585E-2</v>
      </c>
      <c r="Z38" s="30">
        <f>Z37/Y37-1</f>
        <v>5.7330217359355951E-2</v>
      </c>
      <c r="AA38" s="30">
        <f>AA37/Z37-1</f>
        <v>5.7314209089475598E-2</v>
      </c>
      <c r="AB38" s="61">
        <f>AB37/AA37-1</f>
        <v>5.8304317612059897E-2</v>
      </c>
    </row>
    <row r="39" spans="2:29" x14ac:dyDescent="0.15">
      <c r="B39" s="53" t="s">
        <v>135</v>
      </c>
      <c r="C39" s="290">
        <v>4216</v>
      </c>
      <c r="D39" s="290">
        <v>4987</v>
      </c>
      <c r="E39" s="290">
        <v>5443</v>
      </c>
      <c r="F39" s="290">
        <v>5959</v>
      </c>
      <c r="G39" s="290">
        <v>6675</v>
      </c>
      <c r="H39" s="290">
        <f>G39</f>
        <v>6675</v>
      </c>
      <c r="I39" s="290">
        <v>7330</v>
      </c>
      <c r="J39" s="290">
        <v>7441</v>
      </c>
      <c r="K39" s="290">
        <v>7108</v>
      </c>
      <c r="L39" s="290">
        <v>7947</v>
      </c>
      <c r="M39" s="290">
        <f>L39</f>
        <v>7947</v>
      </c>
      <c r="N39" s="290">
        <v>8206</v>
      </c>
      <c r="O39" s="290">
        <v>9181</v>
      </c>
      <c r="P39" s="290">
        <v>8597</v>
      </c>
      <c r="Q39" s="290">
        <v>10208</v>
      </c>
      <c r="R39" s="290">
        <f>Q39</f>
        <v>10208</v>
      </c>
      <c r="S39" s="290">
        <v>11427</v>
      </c>
      <c r="T39" s="290">
        <v>13099</v>
      </c>
      <c r="U39" s="290">
        <v>13601</v>
      </c>
      <c r="V39" s="290">
        <v>14676</v>
      </c>
      <c r="W39" s="290">
        <f>V39</f>
        <v>14676</v>
      </c>
      <c r="X39" s="2">
        <f>X57*X21</f>
        <v>17334.061571139649</v>
      </c>
      <c r="Y39" s="2">
        <f>Y57*Y21</f>
        <v>20099.354217076754</v>
      </c>
      <c r="Z39" s="2">
        <f>Z57*Z21</f>
        <v>23115.563022531351</v>
      </c>
      <c r="AA39" s="2">
        <f>AA57*AA21</f>
        <v>26340.106712484983</v>
      </c>
      <c r="AB39" s="40">
        <f>AB57*AB21</f>
        <v>29764.398176120056</v>
      </c>
    </row>
    <row r="40" spans="2:29" x14ac:dyDescent="0.15">
      <c r="B40" s="41" t="s">
        <v>164</v>
      </c>
      <c r="D40" s="2"/>
      <c r="E40" s="48">
        <f>(E39-D39)/D39</f>
        <v>9.1437738119109685E-2</v>
      </c>
      <c r="F40" s="48">
        <f t="shared" ref="F40:G40" si="28">(F39-E39)/E39</f>
        <v>9.4800661399963251E-2</v>
      </c>
      <c r="G40" s="48">
        <f t="shared" si="28"/>
        <v>0.12015438832018795</v>
      </c>
      <c r="H40" s="30">
        <f>(H39-C39)/C39</f>
        <v>0.58325426944971537</v>
      </c>
      <c r="I40" s="30">
        <f t="shared" ref="I40:W40" si="29">(I39-D39)/D39</f>
        <v>0.46982153599358334</v>
      </c>
      <c r="J40" s="30">
        <f t="shared" si="29"/>
        <v>0.36707697960683444</v>
      </c>
      <c r="K40" s="30">
        <f t="shared" si="29"/>
        <v>0.19281758684343012</v>
      </c>
      <c r="L40" s="30">
        <f t="shared" si="29"/>
        <v>0.19056179775280899</v>
      </c>
      <c r="M40" s="30">
        <f t="shared" si="29"/>
        <v>0.19056179775280899</v>
      </c>
      <c r="N40" s="30">
        <f t="shared" si="29"/>
        <v>0.11950886766712142</v>
      </c>
      <c r="O40" s="30">
        <f t="shared" si="29"/>
        <v>0.23383953769654617</v>
      </c>
      <c r="P40" s="30">
        <f t="shared" si="29"/>
        <v>0.2094822734946539</v>
      </c>
      <c r="Q40" s="30">
        <f t="shared" si="29"/>
        <v>0.28450987794136151</v>
      </c>
      <c r="R40" s="30">
        <f t="shared" si="29"/>
        <v>0.28450987794136151</v>
      </c>
      <c r="S40" s="30">
        <f t="shared" si="29"/>
        <v>0.39251766999756277</v>
      </c>
      <c r="T40" s="30">
        <f t="shared" si="29"/>
        <v>0.42675089859492432</v>
      </c>
      <c r="U40" s="30">
        <f t="shared" si="29"/>
        <v>0.58206351052692795</v>
      </c>
      <c r="V40" s="30">
        <f t="shared" si="29"/>
        <v>0.43769592476489028</v>
      </c>
      <c r="W40" s="30">
        <f t="shared" si="29"/>
        <v>0.43769592476489028</v>
      </c>
      <c r="X40" s="30">
        <f>X39/W39-1</f>
        <v>0.18111621498634833</v>
      </c>
      <c r="Y40" s="30">
        <f>Y39/X39-1</f>
        <v>0.15952941176470614</v>
      </c>
      <c r="Z40" s="30">
        <f>Z39/Y39-1</f>
        <v>0.15006496093749977</v>
      </c>
      <c r="AA40" s="30">
        <f>AA39/Z39-1</f>
        <v>0.13949665369649811</v>
      </c>
      <c r="AB40" s="61">
        <f>AB39/AA39-1</f>
        <v>0.13000294573643423</v>
      </c>
      <c r="AC40" s="15"/>
    </row>
    <row r="41" spans="2:29" ht="15" thickBot="1" x14ac:dyDescent="0.2">
      <c r="B41" s="78" t="s">
        <v>136</v>
      </c>
      <c r="C41" s="20">
        <f>SUM(C37:C39)</f>
        <v>14335</v>
      </c>
      <c r="D41" s="20">
        <f t="shared" ref="D41:AB41" si="30">SUM(D37:D39)</f>
        <v>15013</v>
      </c>
      <c r="E41" s="20">
        <f t="shared" si="30"/>
        <v>15471.000199481348</v>
      </c>
      <c r="F41" s="20">
        <f t="shared" si="30"/>
        <v>16428.043976864778</v>
      </c>
      <c r="G41" s="20">
        <f t="shared" si="30"/>
        <v>19618.236316744675</v>
      </c>
      <c r="H41" s="20">
        <f t="shared" si="30"/>
        <v>19618.279078960371</v>
      </c>
      <c r="I41" s="20">
        <f t="shared" si="30"/>
        <v>20265.290145621384</v>
      </c>
      <c r="J41" s="20">
        <f t="shared" si="30"/>
        <v>20538.306043079378</v>
      </c>
      <c r="K41" s="20">
        <f t="shared" si="30"/>
        <v>20204.250931321043</v>
      </c>
      <c r="L41" s="20">
        <f t="shared" si="30"/>
        <v>22146.097040871515</v>
      </c>
      <c r="M41" s="20">
        <f t="shared" si="30"/>
        <v>22146.097040871515</v>
      </c>
      <c r="N41" s="20">
        <f t="shared" si="30"/>
        <v>22319.091070738308</v>
      </c>
      <c r="O41" s="20">
        <f t="shared" si="30"/>
        <v>23202.070550507749</v>
      </c>
      <c r="P41" s="20">
        <f t="shared" si="30"/>
        <v>22568.066814294441</v>
      </c>
      <c r="Q41" s="20">
        <f t="shared" si="30"/>
        <v>25214.05683498838</v>
      </c>
      <c r="R41" s="20">
        <f t="shared" si="30"/>
        <v>25214.05683498838</v>
      </c>
      <c r="S41" s="20">
        <f t="shared" si="30"/>
        <v>27277.123078013181</v>
      </c>
      <c r="T41" s="20">
        <f t="shared" si="30"/>
        <v>29467.167391769486</v>
      </c>
      <c r="U41" s="20">
        <f t="shared" si="30"/>
        <v>29987.172858063132</v>
      </c>
      <c r="V41" s="20">
        <f t="shared" si="30"/>
        <v>32111.161868585899</v>
      </c>
      <c r="W41" s="20">
        <f t="shared" si="30"/>
        <v>32111.161868585899</v>
      </c>
      <c r="X41" s="20">
        <f t="shared" si="30"/>
        <v>35925.283010939565</v>
      </c>
      <c r="Y41" s="20">
        <f t="shared" si="30"/>
        <v>39737.997179911072</v>
      </c>
      <c r="Z41" s="20">
        <f t="shared" si="30"/>
        <v>43880.091414969938</v>
      </c>
      <c r="AA41" s="20">
        <f t="shared" si="30"/>
        <v>48294.734325007812</v>
      </c>
      <c r="AB41" s="79">
        <f t="shared" si="30"/>
        <v>52999.073018460585</v>
      </c>
    </row>
    <row r="42" spans="2:29" x14ac:dyDescent="0.15">
      <c r="B42" s="39" t="s">
        <v>151</v>
      </c>
      <c r="C42" s="290">
        <v>8599</v>
      </c>
      <c r="D42" s="290"/>
      <c r="E42" s="290"/>
      <c r="F42" s="290"/>
      <c r="G42" s="290"/>
      <c r="H42" s="290">
        <v>10465</v>
      </c>
      <c r="I42" s="290"/>
      <c r="J42" s="290"/>
      <c r="K42" s="290"/>
      <c r="L42" s="290"/>
      <c r="M42" s="290">
        <v>13049</v>
      </c>
      <c r="N42" s="290"/>
      <c r="O42" s="290"/>
      <c r="P42" s="290"/>
      <c r="Q42" s="290"/>
      <c r="R42" s="290">
        <v>14071</v>
      </c>
      <c r="S42" s="290"/>
      <c r="T42" s="290"/>
      <c r="U42" s="290"/>
      <c r="V42" s="290"/>
      <c r="W42" s="290">
        <v>16206</v>
      </c>
      <c r="X42" s="16">
        <f>X37*X43</f>
        <v>17266.284827522886</v>
      </c>
      <c r="Y42" s="16">
        <f>Y37*Y43</f>
        <v>18239.072715446793</v>
      </c>
      <c r="Z42" s="16">
        <f>Z37*Z43</f>
        <v>19284.72271865646</v>
      </c>
      <c r="AA42" s="16">
        <f>AA37*AA43</f>
        <v>20390.011348786094</v>
      </c>
      <c r="AB42" s="80">
        <f>AB37*AB43</f>
        <v>21578.837046579225</v>
      </c>
    </row>
    <row r="43" spans="2:29" x14ac:dyDescent="0.15">
      <c r="B43" s="41" t="s">
        <v>154</v>
      </c>
      <c r="C43" s="81">
        <f t="shared" ref="C43:W43" si="31">C42/C37</f>
        <v>0.84978752841189842</v>
      </c>
      <c r="D43" s="81">
        <f t="shared" si="31"/>
        <v>0</v>
      </c>
      <c r="E43" s="81">
        <f t="shared" si="31"/>
        <v>0</v>
      </c>
      <c r="F43" s="81">
        <f t="shared" si="31"/>
        <v>0</v>
      </c>
      <c r="G43" s="81">
        <f t="shared" si="31"/>
        <v>0</v>
      </c>
      <c r="H43" s="81">
        <f t="shared" si="31"/>
        <v>0.80854515954570039</v>
      </c>
      <c r="I43" s="81">
        <f t="shared" si="31"/>
        <v>0</v>
      </c>
      <c r="J43" s="81">
        <f t="shared" si="31"/>
        <v>0</v>
      </c>
      <c r="K43" s="81">
        <f t="shared" si="31"/>
        <v>0</v>
      </c>
      <c r="L43" s="81">
        <f t="shared" si="31"/>
        <v>0</v>
      </c>
      <c r="M43" s="81">
        <f t="shared" si="31"/>
        <v>0.91900838087189241</v>
      </c>
      <c r="N43" s="81">
        <f t="shared" si="31"/>
        <v>0</v>
      </c>
      <c r="O43" s="81">
        <f t="shared" si="31"/>
        <v>0</v>
      </c>
      <c r="P43" s="81">
        <f t="shared" si="31"/>
        <v>0</v>
      </c>
      <c r="Q43" s="81">
        <f t="shared" si="31"/>
        <v>0</v>
      </c>
      <c r="R43" s="81">
        <f t="shared" si="31"/>
        <v>0.93769159003065439</v>
      </c>
      <c r="S43" s="81">
        <f t="shared" si="31"/>
        <v>0</v>
      </c>
      <c r="T43" s="81">
        <f t="shared" si="31"/>
        <v>0</v>
      </c>
      <c r="U43" s="81">
        <f t="shared" si="31"/>
        <v>0</v>
      </c>
      <c r="V43" s="81">
        <f t="shared" si="31"/>
        <v>0</v>
      </c>
      <c r="W43" s="81">
        <f t="shared" si="31"/>
        <v>0.92950960711213082</v>
      </c>
      <c r="X43" s="81">
        <f>AVERAGE(M43,R43,W43)</f>
        <v>0.92873652600489243</v>
      </c>
      <c r="Y43" s="81">
        <v>0.92873652600489243</v>
      </c>
      <c r="Z43" s="81">
        <v>0.92873652600489243</v>
      </c>
      <c r="AA43" s="81">
        <v>0.92873652600489243</v>
      </c>
      <c r="AB43" s="82">
        <v>0.92873652600489243</v>
      </c>
    </row>
    <row r="44" spans="2:29" x14ac:dyDescent="0.15">
      <c r="B44" s="39" t="s">
        <v>152</v>
      </c>
      <c r="C44" s="290">
        <v>847</v>
      </c>
      <c r="D44" s="292"/>
      <c r="E44" s="292"/>
      <c r="F44" s="292"/>
      <c r="G44" s="292"/>
      <c r="H44" s="290">
        <v>842</v>
      </c>
      <c r="I44" s="290"/>
      <c r="J44" s="290"/>
      <c r="K44" s="290"/>
      <c r="L44" s="290"/>
      <c r="M44" s="290">
        <v>827</v>
      </c>
      <c r="N44" s="290"/>
      <c r="O44" s="290"/>
      <c r="P44" s="290"/>
      <c r="Q44" s="290"/>
      <c r="R44" s="290">
        <v>845</v>
      </c>
      <c r="S44" s="290"/>
      <c r="T44" s="290"/>
      <c r="U44" s="290"/>
      <c r="V44" s="290"/>
      <c r="W44" s="290">
        <v>817</v>
      </c>
      <c r="X44" s="16">
        <f>X39*X45</f>
        <v>1386.7249256911721</v>
      </c>
      <c r="Y44" s="16">
        <f>Y39*Y45</f>
        <v>1607.9483373661403</v>
      </c>
      <c r="Z44" s="16">
        <f>Z39*Z45</f>
        <v>1849.245041802508</v>
      </c>
      <c r="AA44" s="16">
        <f>AA39*AA45</f>
        <v>2107.2085369987985</v>
      </c>
      <c r="AB44" s="80">
        <f>AB39*AB45</f>
        <v>2381.1518540896045</v>
      </c>
    </row>
    <row r="45" spans="2:29" x14ac:dyDescent="0.15">
      <c r="B45" s="41" t="s">
        <v>155</v>
      </c>
      <c r="C45" s="81">
        <f t="shared" ref="C45:W45" si="32">C44/C39</f>
        <v>0.20090132827324478</v>
      </c>
      <c r="D45" s="81">
        <f t="shared" si="32"/>
        <v>0</v>
      </c>
      <c r="E45" s="81">
        <f t="shared" si="32"/>
        <v>0</v>
      </c>
      <c r="F45" s="81">
        <f t="shared" si="32"/>
        <v>0</v>
      </c>
      <c r="G45" s="81">
        <f t="shared" si="32"/>
        <v>0</v>
      </c>
      <c r="H45" s="81">
        <f t="shared" si="32"/>
        <v>0.12614232209737827</v>
      </c>
      <c r="I45" s="81">
        <f t="shared" si="32"/>
        <v>0</v>
      </c>
      <c r="J45" s="81">
        <f t="shared" si="32"/>
        <v>0</v>
      </c>
      <c r="K45" s="81">
        <f t="shared" si="32"/>
        <v>0</v>
      </c>
      <c r="L45" s="81">
        <f t="shared" si="32"/>
        <v>0</v>
      </c>
      <c r="M45" s="81">
        <f t="shared" si="32"/>
        <v>0.10406442682773373</v>
      </c>
      <c r="N45" s="81">
        <f t="shared" si="32"/>
        <v>0</v>
      </c>
      <c r="O45" s="81">
        <f t="shared" si="32"/>
        <v>0</v>
      </c>
      <c r="P45" s="81">
        <f t="shared" si="32"/>
        <v>0</v>
      </c>
      <c r="Q45" s="81">
        <f t="shared" si="32"/>
        <v>0</v>
      </c>
      <c r="R45" s="81">
        <f t="shared" si="32"/>
        <v>8.2778213166144199E-2</v>
      </c>
      <c r="S45" s="81">
        <f t="shared" si="32"/>
        <v>0</v>
      </c>
      <c r="T45" s="81">
        <f t="shared" si="32"/>
        <v>0</v>
      </c>
      <c r="U45" s="81">
        <f t="shared" si="32"/>
        <v>0</v>
      </c>
      <c r="V45" s="81">
        <f t="shared" si="32"/>
        <v>0</v>
      </c>
      <c r="W45" s="81">
        <f t="shared" si="32"/>
        <v>5.5669119651131097E-2</v>
      </c>
      <c r="X45" s="81">
        <v>0.08</v>
      </c>
      <c r="Y45" s="81">
        <v>0.08</v>
      </c>
      <c r="Z45" s="81">
        <v>0.08</v>
      </c>
      <c r="AA45" s="81">
        <v>0.08</v>
      </c>
      <c r="AB45" s="82">
        <v>0.08</v>
      </c>
    </row>
    <row r="46" spans="2:29" x14ac:dyDescent="0.15">
      <c r="B46" s="4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</row>
    <row r="47" spans="2:29" x14ac:dyDescent="0.15">
      <c r="B47" s="41" t="s">
        <v>165</v>
      </c>
      <c r="C47" s="81">
        <f>C37/C41</f>
        <v>0.7058946634112313</v>
      </c>
      <c r="D47" s="81">
        <f t="shared" ref="D47:AB47" si="33">D37/D41</f>
        <v>0.66782122160793977</v>
      </c>
      <c r="E47" s="81">
        <f t="shared" si="33"/>
        <v>0.64818045832202753</v>
      </c>
      <c r="F47" s="81">
        <f t="shared" si="33"/>
        <v>0.63726393810141013</v>
      </c>
      <c r="G47" s="81">
        <f t="shared" si="33"/>
        <v>0.65974330164189188</v>
      </c>
      <c r="H47" s="81">
        <f t="shared" si="33"/>
        <v>0.65974186359091624</v>
      </c>
      <c r="I47" s="81">
        <f t="shared" si="33"/>
        <v>0.63828348407806035</v>
      </c>
      <c r="J47" s="81">
        <f t="shared" si="33"/>
        <v>0.63768647582370541</v>
      </c>
      <c r="K47" s="81">
        <f t="shared" si="33"/>
        <v>0.64818042720397584</v>
      </c>
      <c r="L47" s="81">
        <f t="shared" si="33"/>
        <v>0.64115134932332196</v>
      </c>
      <c r="M47" s="81">
        <f t="shared" si="33"/>
        <v>0.64115134932332196</v>
      </c>
      <c r="N47" s="81">
        <f t="shared" si="33"/>
        <v>0.63232861747237568</v>
      </c>
      <c r="O47" s="81">
        <f t="shared" si="33"/>
        <v>0.60429951583321806</v>
      </c>
      <c r="P47" s="81">
        <f t="shared" si="33"/>
        <v>0.61906055644743463</v>
      </c>
      <c r="Q47" s="81">
        <f t="shared" si="33"/>
        <v>0.59514421254008076</v>
      </c>
      <c r="R47" s="81">
        <f t="shared" si="33"/>
        <v>0.59514421254008076</v>
      </c>
      <c r="S47" s="81">
        <f t="shared" si="33"/>
        <v>0.58107300959374075</v>
      </c>
      <c r="T47" s="81">
        <f t="shared" si="33"/>
        <v>0.55546567413099124</v>
      </c>
      <c r="U47" s="81">
        <f t="shared" si="33"/>
        <v>0.54643363939505329</v>
      </c>
      <c r="V47" s="81">
        <f t="shared" si="33"/>
        <v>0.54295761926498598</v>
      </c>
      <c r="W47" s="81">
        <f t="shared" si="33"/>
        <v>0.54295761926498598</v>
      </c>
      <c r="X47" s="81">
        <f t="shared" si="33"/>
        <v>0.51749502214996035</v>
      </c>
      <c r="Y47" s="81">
        <f t="shared" si="33"/>
        <v>0.4942017216823778</v>
      </c>
      <c r="Z47" s="81">
        <f t="shared" si="33"/>
        <v>0.47320938477209534</v>
      </c>
      <c r="AA47" s="81">
        <f t="shared" si="33"/>
        <v>0.45459552899839223</v>
      </c>
      <c r="AB47" s="82">
        <f t="shared" si="33"/>
        <v>0.4383966589364659</v>
      </c>
    </row>
    <row r="48" spans="2:29" x14ac:dyDescent="0.15">
      <c r="B48" s="41" t="s">
        <v>166</v>
      </c>
      <c r="C48" s="81">
        <f>C39/C41</f>
        <v>0.29410533658876875</v>
      </c>
      <c r="D48" s="81">
        <f t="shared" ref="D48:AB48" si="34">D39/D41</f>
        <v>0.33217877839206023</v>
      </c>
      <c r="E48" s="81">
        <f t="shared" si="34"/>
        <v>0.35181952878408418</v>
      </c>
      <c r="F48" s="81">
        <f t="shared" si="34"/>
        <v>0.36273338496000607</v>
      </c>
      <c r="G48" s="81">
        <f t="shared" si="34"/>
        <v>0.34024465258901554</v>
      </c>
      <c r="H48" s="81">
        <f t="shared" si="34"/>
        <v>0.34024391095336215</v>
      </c>
      <c r="I48" s="81">
        <f t="shared" si="34"/>
        <v>0.36170219855370561</v>
      </c>
      <c r="J48" s="81">
        <f t="shared" si="34"/>
        <v>0.36229862308957717</v>
      </c>
      <c r="K48" s="81">
        <f t="shared" si="34"/>
        <v>0.3518071530670327</v>
      </c>
      <c r="L48" s="81">
        <f t="shared" si="34"/>
        <v>0.35884426882684978</v>
      </c>
      <c r="M48" s="81">
        <f t="shared" si="34"/>
        <v>0.35884426882684978</v>
      </c>
      <c r="N48" s="81">
        <f t="shared" si="34"/>
        <v>0.36766730213124887</v>
      </c>
      <c r="O48" s="81">
        <f t="shared" si="34"/>
        <v>0.39569744346799623</v>
      </c>
      <c r="P48" s="81">
        <f t="shared" si="34"/>
        <v>0.3809364829846536</v>
      </c>
      <c r="Q48" s="81">
        <f t="shared" si="34"/>
        <v>0.40485353336059871</v>
      </c>
      <c r="R48" s="81">
        <f t="shared" si="34"/>
        <v>0.40485353336059871</v>
      </c>
      <c r="S48" s="81">
        <f t="shared" si="34"/>
        <v>0.41892247827303947</v>
      </c>
      <c r="T48" s="81">
        <f t="shared" si="34"/>
        <v>0.44452864524938013</v>
      </c>
      <c r="U48" s="81">
        <f t="shared" si="34"/>
        <v>0.45356059620481631</v>
      </c>
      <c r="V48" s="81">
        <f t="shared" si="34"/>
        <v>0.45703733985276368</v>
      </c>
      <c r="W48" s="81">
        <f t="shared" si="34"/>
        <v>0.45703733985276368</v>
      </c>
      <c r="X48" s="81">
        <f t="shared" si="34"/>
        <v>0.4825031320104361</v>
      </c>
      <c r="Y48" s="81">
        <f t="shared" si="34"/>
        <v>0.50579686052314865</v>
      </c>
      <c r="Z48" s="81">
        <f t="shared" si="34"/>
        <v>0.5267893087078972</v>
      </c>
      <c r="AA48" s="81">
        <f t="shared" si="34"/>
        <v>0.54540328424263929</v>
      </c>
      <c r="AB48" s="82">
        <f t="shared" si="34"/>
        <v>0.56160224096282874</v>
      </c>
    </row>
    <row r="49" spans="2:30" x14ac:dyDescent="0.15">
      <c r="B49" s="39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83"/>
    </row>
    <row r="50" spans="2:30" x14ac:dyDescent="0.15">
      <c r="B50" s="39" t="s">
        <v>167</v>
      </c>
      <c r="C50" s="31">
        <f>(C4/1000)*0.945</f>
        <v>180.43168499999999</v>
      </c>
      <c r="D50" s="31">
        <f t="shared" ref="D50:W50" si="35">(D4/1000)*0.945</f>
        <v>44.394210000000001</v>
      </c>
      <c r="E50" s="31">
        <f t="shared" si="35"/>
        <v>46.093319999999999</v>
      </c>
      <c r="F50" s="31">
        <f t="shared" si="35"/>
        <v>46.310669999999995</v>
      </c>
      <c r="G50" s="31">
        <f t="shared" si="35"/>
        <v>54.863864999999997</v>
      </c>
      <c r="H50" s="31">
        <f t="shared" si="35"/>
        <v>191.66206499999998</v>
      </c>
      <c r="I50" s="31">
        <f t="shared" si="35"/>
        <v>56.099924999999999</v>
      </c>
      <c r="J50" s="31">
        <f t="shared" si="35"/>
        <v>61.991055000000003</v>
      </c>
      <c r="K50" s="31">
        <f t="shared" si="35"/>
        <v>70.536689999999993</v>
      </c>
      <c r="L50" s="31">
        <f t="shared" si="35"/>
        <v>58.283819999999999</v>
      </c>
      <c r="M50" s="31">
        <f t="shared" si="35"/>
        <v>246.91148999999996</v>
      </c>
      <c r="N50" s="31">
        <f t="shared" si="35"/>
        <v>83.613600000000005</v>
      </c>
      <c r="O50" s="31">
        <f t="shared" si="35"/>
        <v>87.578819999999993</v>
      </c>
      <c r="P50" s="31">
        <f t="shared" si="35"/>
        <v>94.504724999999993</v>
      </c>
      <c r="Q50" s="31">
        <f t="shared" si="35"/>
        <v>99.634185000000002</v>
      </c>
      <c r="R50" s="31">
        <f t="shared" si="35"/>
        <v>365.33132999999998</v>
      </c>
      <c r="S50" s="31">
        <f t="shared" si="35"/>
        <v>114.95358</v>
      </c>
      <c r="T50" s="31">
        <f t="shared" si="35"/>
        <v>131.05637999999999</v>
      </c>
      <c r="U50" s="31">
        <f t="shared" si="35"/>
        <v>133.20058499999999</v>
      </c>
      <c r="V50" s="31">
        <f t="shared" si="35"/>
        <v>136.20568499999999</v>
      </c>
      <c r="W50" s="31">
        <f t="shared" si="35"/>
        <v>515.41622999999993</v>
      </c>
      <c r="X50" s="31">
        <f>X33*X42</f>
        <v>604.31996896330111</v>
      </c>
      <c r="Y50" s="31">
        <f t="shared" ref="Y50:AB50" si="36">Y33*Y42</f>
        <v>683.96522682925468</v>
      </c>
      <c r="Z50" s="31">
        <f t="shared" si="36"/>
        <v>761.74654738693016</v>
      </c>
      <c r="AA50" s="31">
        <f t="shared" si="36"/>
        <v>805.40544827705071</v>
      </c>
      <c r="AB50" s="84">
        <f t="shared" si="36"/>
        <v>852.36406333987941</v>
      </c>
    </row>
    <row r="51" spans="2:30" x14ac:dyDescent="0.15">
      <c r="B51" s="39" t="s">
        <v>149</v>
      </c>
      <c r="C51" s="31">
        <f>(C4/1000)-C50</f>
        <v>10.501315000000005</v>
      </c>
      <c r="D51" s="31">
        <f t="shared" ref="D51:W51" si="37">(D4/1000)-D50</f>
        <v>2.5837900000000005</v>
      </c>
      <c r="E51" s="31">
        <f t="shared" si="37"/>
        <v>2.6826800000000048</v>
      </c>
      <c r="F51" s="31">
        <f t="shared" si="37"/>
        <v>2.6953300000000056</v>
      </c>
      <c r="G51" s="31">
        <f t="shared" si="37"/>
        <v>3.1931350000000052</v>
      </c>
      <c r="H51" s="31">
        <f t="shared" si="37"/>
        <v>11.154935000000023</v>
      </c>
      <c r="I51" s="31">
        <f t="shared" si="37"/>
        <v>3.2650750000000031</v>
      </c>
      <c r="J51" s="31">
        <f t="shared" si="37"/>
        <v>3.6079450000000008</v>
      </c>
      <c r="K51" s="31">
        <f t="shared" si="37"/>
        <v>4.1053100000000029</v>
      </c>
      <c r="L51" s="31">
        <f t="shared" si="37"/>
        <v>3.3921800000000033</v>
      </c>
      <c r="M51" s="31">
        <f t="shared" si="37"/>
        <v>14.370510000000024</v>
      </c>
      <c r="N51" s="31">
        <f t="shared" si="37"/>
        <v>4.8663999999999987</v>
      </c>
      <c r="O51" s="31">
        <f t="shared" si="37"/>
        <v>5.0971800000000087</v>
      </c>
      <c r="P51" s="31">
        <f t="shared" si="37"/>
        <v>5.500275000000002</v>
      </c>
      <c r="Q51" s="31">
        <f t="shared" si="37"/>
        <v>5.7988150000000047</v>
      </c>
      <c r="R51" s="31">
        <f t="shared" si="37"/>
        <v>21.262670000000014</v>
      </c>
      <c r="S51" s="31">
        <f t="shared" si="37"/>
        <v>6.6904200000000031</v>
      </c>
      <c r="T51" s="31">
        <f t="shared" si="37"/>
        <v>7.6276200000000074</v>
      </c>
      <c r="U51" s="31">
        <f t="shared" si="37"/>
        <v>7.7524150000000134</v>
      </c>
      <c r="V51" s="31">
        <f t="shared" si="37"/>
        <v>7.9273150000000214</v>
      </c>
      <c r="W51" s="31">
        <f t="shared" si="37"/>
        <v>29.99777000000006</v>
      </c>
      <c r="X51" s="85">
        <f>X34*X44</f>
        <v>57.782246369159409</v>
      </c>
      <c r="Y51" s="85">
        <f t="shared" ref="Y51:AB51" si="38">Y34*Y44</f>
        <v>67.000214142874725</v>
      </c>
      <c r="Z51" s="85">
        <f t="shared" si="38"/>
        <v>77.054598661029345</v>
      </c>
      <c r="AA51" s="85">
        <f t="shared" si="38"/>
        <v>87.803457326169607</v>
      </c>
      <c r="AB51" s="86">
        <f t="shared" si="38"/>
        <v>99.218165424414963</v>
      </c>
    </row>
    <row r="52" spans="2:30" x14ac:dyDescent="0.15">
      <c r="B52" s="50" t="s">
        <v>168</v>
      </c>
      <c r="C52" s="87">
        <f>SUM(C50:C51)</f>
        <v>190.93299999999999</v>
      </c>
      <c r="D52" s="87">
        <f t="shared" ref="D52:AB52" si="39">SUM(D50:D51)</f>
        <v>46.978000000000002</v>
      </c>
      <c r="E52" s="87">
        <f t="shared" si="39"/>
        <v>48.776000000000003</v>
      </c>
      <c r="F52" s="87">
        <f t="shared" si="39"/>
        <v>49.006</v>
      </c>
      <c r="G52" s="87">
        <f t="shared" si="39"/>
        <v>58.057000000000002</v>
      </c>
      <c r="H52" s="87">
        <f t="shared" si="39"/>
        <v>202.81700000000001</v>
      </c>
      <c r="I52" s="87">
        <f t="shared" si="39"/>
        <v>59.365000000000002</v>
      </c>
      <c r="J52" s="87">
        <f t="shared" si="39"/>
        <v>65.599000000000004</v>
      </c>
      <c r="K52" s="87">
        <f t="shared" si="39"/>
        <v>74.641999999999996</v>
      </c>
      <c r="L52" s="87">
        <f t="shared" si="39"/>
        <v>61.676000000000002</v>
      </c>
      <c r="M52" s="87">
        <f t="shared" si="39"/>
        <v>261.28199999999998</v>
      </c>
      <c r="N52" s="87">
        <f t="shared" si="39"/>
        <v>88.48</v>
      </c>
      <c r="O52" s="87">
        <f t="shared" si="39"/>
        <v>92.676000000000002</v>
      </c>
      <c r="P52" s="87">
        <f t="shared" si="39"/>
        <v>100.005</v>
      </c>
      <c r="Q52" s="87">
        <f t="shared" si="39"/>
        <v>105.43300000000001</v>
      </c>
      <c r="R52" s="87">
        <f t="shared" si="39"/>
        <v>386.59399999999999</v>
      </c>
      <c r="S52" s="87">
        <f t="shared" si="39"/>
        <v>121.64400000000001</v>
      </c>
      <c r="T52" s="87">
        <f t="shared" si="39"/>
        <v>138.684</v>
      </c>
      <c r="U52" s="87">
        <f t="shared" si="39"/>
        <v>140.953</v>
      </c>
      <c r="V52" s="87">
        <f t="shared" si="39"/>
        <v>144.13300000000001</v>
      </c>
      <c r="W52" s="87">
        <f t="shared" si="39"/>
        <v>545.41399999999999</v>
      </c>
      <c r="X52" s="87">
        <f t="shared" si="39"/>
        <v>662.10221533246056</v>
      </c>
      <c r="Y52" s="87">
        <f t="shared" si="39"/>
        <v>750.96544097212939</v>
      </c>
      <c r="Z52" s="87">
        <f t="shared" si="39"/>
        <v>838.80114604795949</v>
      </c>
      <c r="AA52" s="87">
        <f t="shared" si="39"/>
        <v>893.20890560322027</v>
      </c>
      <c r="AB52" s="88">
        <f t="shared" si="39"/>
        <v>951.58222876429431</v>
      </c>
    </row>
    <row r="53" spans="2:30" x14ac:dyDescent="0.15">
      <c r="B53" s="53"/>
      <c r="C53" s="31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</row>
    <row r="54" spans="2:30" x14ac:dyDescent="0.15">
      <c r="B54" s="39"/>
      <c r="AB54" s="43"/>
    </row>
    <row r="55" spans="2:30" x14ac:dyDescent="0.15">
      <c r="B55" s="53" t="s">
        <v>138</v>
      </c>
      <c r="C55" s="180">
        <f t="shared" ref="C55:W55" si="40">C37/C21</f>
        <v>1.7500864752680734</v>
      </c>
      <c r="D55" s="180">
        <f t="shared" si="40"/>
        <v>1.7150188162846391</v>
      </c>
      <c r="E55" s="180">
        <f t="shared" si="40"/>
        <v>1.6791694574681848</v>
      </c>
      <c r="F55" s="180">
        <f t="shared" si="40"/>
        <v>1.6774555359717993</v>
      </c>
      <c r="G55" s="180">
        <f t="shared" si="40"/>
        <v>1.7958928819203552</v>
      </c>
      <c r="H55" s="180">
        <f t="shared" si="40"/>
        <v>1.7958928819203552</v>
      </c>
      <c r="I55" s="180">
        <f t="shared" si="40"/>
        <v>1.7577116456040223</v>
      </c>
      <c r="J55" s="180">
        <f t="shared" si="40"/>
        <v>1.7409278213478665</v>
      </c>
      <c r="K55" s="180">
        <f t="shared" si="40"/>
        <v>1.7118954248366014</v>
      </c>
      <c r="L55" s="180">
        <f t="shared" si="40"/>
        <v>1.778431863727455</v>
      </c>
      <c r="M55" s="180">
        <f t="shared" si="40"/>
        <v>1.778431863727455</v>
      </c>
      <c r="N55" s="180">
        <f t="shared" si="40"/>
        <v>1.7542573026724673</v>
      </c>
      <c r="O55" s="180">
        <f t="shared" si="40"/>
        <v>1.7174179323860852</v>
      </c>
      <c r="P55" s="180">
        <f t="shared" si="40"/>
        <v>1.6842676311030742</v>
      </c>
      <c r="Q55" s="180">
        <f t="shared" si="40"/>
        <v>1.7264150943396226</v>
      </c>
      <c r="R55" s="180">
        <f t="shared" si="40"/>
        <v>1.7264150943396226</v>
      </c>
      <c r="S55" s="180">
        <f t="shared" si="40"/>
        <v>1.7423326371331207</v>
      </c>
      <c r="T55" s="180">
        <f t="shared" si="40"/>
        <v>1.7444314185228604</v>
      </c>
      <c r="U55" s="180">
        <f t="shared" si="40"/>
        <v>1.7233908287757678</v>
      </c>
      <c r="V55" s="180">
        <f t="shared" si="40"/>
        <v>1.7630700778642936</v>
      </c>
      <c r="W55" s="180">
        <f t="shared" si="40"/>
        <v>1.7630700778642936</v>
      </c>
      <c r="X55" s="180">
        <f>W55*(1+X56)</f>
        <v>1.7667876092581676</v>
      </c>
      <c r="Y55" s="180">
        <f t="shared" ref="Y55:AB55" si="41">X55*(1+Y56)</f>
        <v>1.770512979273908</v>
      </c>
      <c r="Z55" s="180">
        <f t="shared" si="41"/>
        <v>1.7742462044396854</v>
      </c>
      <c r="AA55" s="180">
        <f t="shared" si="41"/>
        <v>1.7779873013185208</v>
      </c>
      <c r="AB55" s="293">
        <f t="shared" si="41"/>
        <v>1.7817362865083595</v>
      </c>
    </row>
    <row r="56" spans="2:30" x14ac:dyDescent="0.15">
      <c r="B56" s="41" t="s">
        <v>140</v>
      </c>
      <c r="E56" s="48">
        <f>(E55-D55)/D55</f>
        <v>-2.0903186878215848E-2</v>
      </c>
      <c r="F56" s="48">
        <f t="shared" ref="F56:G56" si="42">(F55-E55)/E55</f>
        <v>-1.0206959689284183E-3</v>
      </c>
      <c r="G56" s="48">
        <f t="shared" si="42"/>
        <v>7.0605356391721996E-2</v>
      </c>
      <c r="H56" s="48">
        <f>(H55-C55)/C55</f>
        <v>2.6173796152138919E-2</v>
      </c>
      <c r="I56" s="48">
        <f t="shared" ref="I56:W56" si="43">(I55-D55)/D55</f>
        <v>2.4893504907352253E-2</v>
      </c>
      <c r="J56" s="48">
        <f t="shared" si="43"/>
        <v>3.6779113391449854E-2</v>
      </c>
      <c r="K56" s="48">
        <f t="shared" si="43"/>
        <v>2.0531029363380443E-2</v>
      </c>
      <c r="L56" s="48">
        <f t="shared" si="43"/>
        <v>-9.7227503759740458E-3</v>
      </c>
      <c r="M56" s="48">
        <f t="shared" si="43"/>
        <v>-9.7227503759740458E-3</v>
      </c>
      <c r="N56" s="48">
        <f t="shared" si="43"/>
        <v>-1.9652500682886152E-3</v>
      </c>
      <c r="O56" s="48">
        <f t="shared" si="43"/>
        <v>-1.3504229568563848E-2</v>
      </c>
      <c r="P56" s="48">
        <f t="shared" si="43"/>
        <v>-1.613871579577604E-2</v>
      </c>
      <c r="Q56" s="48">
        <f t="shared" si="43"/>
        <v>-2.9248671511546857E-2</v>
      </c>
      <c r="R56" s="48">
        <f t="shared" si="43"/>
        <v>-2.9248671511546857E-2</v>
      </c>
      <c r="S56" s="48">
        <f t="shared" si="43"/>
        <v>-6.7975578731696417E-3</v>
      </c>
      <c r="T56" s="48">
        <f t="shared" si="43"/>
        <v>1.5729127795494829E-2</v>
      </c>
      <c r="U56" s="48">
        <f t="shared" si="43"/>
        <v>2.3228611029632317E-2</v>
      </c>
      <c r="V56" s="48">
        <f t="shared" si="43"/>
        <v>2.1231848380410527E-2</v>
      </c>
      <c r="W56" s="48">
        <f t="shared" si="43"/>
        <v>2.1231848380410527E-2</v>
      </c>
      <c r="X56" s="48">
        <f>AVERAGE(H56,M56,R56,W56)</f>
        <v>2.1085556612571357E-3</v>
      </c>
      <c r="Y56" s="48">
        <v>2.1085556612571357E-3</v>
      </c>
      <c r="Z56" s="48">
        <v>2.1085556612571357E-3</v>
      </c>
      <c r="AA56" s="48">
        <v>2.1085556612571357E-3</v>
      </c>
      <c r="AB56" s="49">
        <v>2.1085556612571357E-3</v>
      </c>
    </row>
    <row r="57" spans="2:30" x14ac:dyDescent="0.15">
      <c r="B57" s="53" t="s">
        <v>139</v>
      </c>
      <c r="C57" s="180">
        <f t="shared" ref="C57:W57" si="44">C39/C21</f>
        <v>0.72915946039432722</v>
      </c>
      <c r="D57" s="180">
        <f t="shared" si="44"/>
        <v>0.85306192268217584</v>
      </c>
      <c r="E57" s="180">
        <f t="shared" si="44"/>
        <v>0.91141995981245816</v>
      </c>
      <c r="F57" s="180">
        <f t="shared" si="44"/>
        <v>0.95481493350424607</v>
      </c>
      <c r="G57" s="180">
        <f t="shared" si="44"/>
        <v>0.92618287775773556</v>
      </c>
      <c r="H57" s="180">
        <f t="shared" si="44"/>
        <v>0.92618287775773556</v>
      </c>
      <c r="I57" s="180">
        <f t="shared" si="44"/>
        <v>0.99605924718032346</v>
      </c>
      <c r="J57" s="180">
        <f t="shared" si="44"/>
        <v>0.98910009304798618</v>
      </c>
      <c r="K57" s="180">
        <f t="shared" si="44"/>
        <v>0.92915032679738563</v>
      </c>
      <c r="L57" s="180">
        <f t="shared" si="44"/>
        <v>0.99536573146292584</v>
      </c>
      <c r="M57" s="180">
        <f t="shared" si="44"/>
        <v>0.99536573146292584</v>
      </c>
      <c r="N57" s="180">
        <f t="shared" si="44"/>
        <v>1.0200124300807956</v>
      </c>
      <c r="O57" s="180">
        <f t="shared" si="44"/>
        <v>1.1245712885840273</v>
      </c>
      <c r="P57" s="180">
        <f t="shared" si="44"/>
        <v>1.0364074743821579</v>
      </c>
      <c r="Q57" s="180">
        <f t="shared" si="44"/>
        <v>1.1744132535664979</v>
      </c>
      <c r="R57" s="180">
        <f t="shared" si="44"/>
        <v>1.1744132535664979</v>
      </c>
      <c r="S57" s="180">
        <f t="shared" si="44"/>
        <v>1.2561283939760362</v>
      </c>
      <c r="T57" s="180">
        <f t="shared" si="44"/>
        <v>1.3960353831397208</v>
      </c>
      <c r="U57" s="180">
        <f t="shared" si="44"/>
        <v>1.4304795961295751</v>
      </c>
      <c r="V57" s="180">
        <f t="shared" si="44"/>
        <v>1.4840732126605318</v>
      </c>
      <c r="W57" s="180">
        <f t="shared" si="44"/>
        <v>1.4840732126605318</v>
      </c>
      <c r="X57" s="180">
        <f>W57*(1+X58)</f>
        <v>1.6473212660531904</v>
      </c>
      <c r="Y57" s="180">
        <f t="shared" ref="Y57:AB57" si="45">X57*(1+Y58)</f>
        <v>1.8120533926585096</v>
      </c>
      <c r="Z57" s="180">
        <f t="shared" si="45"/>
        <v>1.9751381979977756</v>
      </c>
      <c r="AA57" s="180">
        <f t="shared" si="45"/>
        <v>2.1331492538375976</v>
      </c>
      <c r="AB57" s="293">
        <f t="shared" si="45"/>
        <v>2.2824697016062294</v>
      </c>
    </row>
    <row r="58" spans="2:30" x14ac:dyDescent="0.15">
      <c r="B58" s="54" t="s">
        <v>140</v>
      </c>
      <c r="C58" s="21"/>
      <c r="D58" s="21"/>
      <c r="E58" s="64">
        <f>(E57-D57)/D57</f>
        <v>6.8410083229121801E-2</v>
      </c>
      <c r="F58" s="64">
        <f t="shared" ref="F58:G58" si="46">(F57-E57)/E57</f>
        <v>4.7612489966444495E-2</v>
      </c>
      <c r="G58" s="64">
        <f t="shared" si="46"/>
        <v>-2.9987021297864087E-2</v>
      </c>
      <c r="H58" s="64">
        <f>(H57-C57)/C57</f>
        <v>0.27020621423036695</v>
      </c>
      <c r="I58" s="64">
        <f t="shared" ref="I58:W58" si="47">(I57-D57)/D57</f>
        <v>0.16762830539726709</v>
      </c>
      <c r="J58" s="64">
        <f t="shared" si="47"/>
        <v>8.5229791600693244E-2</v>
      </c>
      <c r="K58" s="64">
        <f t="shared" si="47"/>
        <v>-2.6879142550346704E-2</v>
      </c>
      <c r="L58" s="64">
        <f t="shared" si="47"/>
        <v>7.4696753056675114E-2</v>
      </c>
      <c r="M58" s="64">
        <f t="shared" si="47"/>
        <v>7.4696753056675114E-2</v>
      </c>
      <c r="N58" s="64">
        <f t="shared" si="47"/>
        <v>2.404794992695419E-2</v>
      </c>
      <c r="O58" s="64">
        <f t="shared" si="47"/>
        <v>0.13696409138793678</v>
      </c>
      <c r="P58" s="64">
        <f t="shared" si="47"/>
        <v>0.11543573143268254</v>
      </c>
      <c r="Q58" s="64">
        <f t="shared" si="47"/>
        <v>0.17988113960927643</v>
      </c>
      <c r="R58" s="64">
        <f t="shared" si="47"/>
        <v>0.17988113960927643</v>
      </c>
      <c r="S58" s="64">
        <f t="shared" si="47"/>
        <v>0.23148341817416651</v>
      </c>
      <c r="T58" s="64">
        <f t="shared" si="47"/>
        <v>0.2413934068132754</v>
      </c>
      <c r="U58" s="64">
        <f t="shared" si="47"/>
        <v>0.38022894613176994</v>
      </c>
      <c r="V58" s="64">
        <f t="shared" si="47"/>
        <v>0.26367205764550766</v>
      </c>
      <c r="W58" s="64">
        <f t="shared" si="47"/>
        <v>0.26367205764550766</v>
      </c>
      <c r="X58" s="64">
        <v>0.11</v>
      </c>
      <c r="Y58" s="64">
        <f>X58-$AC58</f>
        <v>0.1</v>
      </c>
      <c r="Z58" s="64">
        <f t="shared" ref="Z58:AB58" si="48">Y58-$AC58</f>
        <v>9.0000000000000011E-2</v>
      </c>
      <c r="AA58" s="64">
        <f t="shared" si="48"/>
        <v>8.0000000000000016E-2</v>
      </c>
      <c r="AB58" s="89">
        <f t="shared" si="48"/>
        <v>7.0000000000000021E-2</v>
      </c>
      <c r="AC58" s="72">
        <v>0.01</v>
      </c>
      <c r="AD58" s="4" t="s">
        <v>162</v>
      </c>
    </row>
    <row r="59" spans="2:30" x14ac:dyDescent="0.15"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2:30" x14ac:dyDescent="0.15">
      <c r="B60" s="23" t="s">
        <v>141</v>
      </c>
      <c r="C60" s="11">
        <f>C6</f>
        <v>733570</v>
      </c>
      <c r="D60" s="11">
        <f>D6</f>
        <v>184202</v>
      </c>
      <c r="E60" s="11">
        <f>E6</f>
        <v>189103</v>
      </c>
      <c r="F60" s="11">
        <f>F6</f>
        <v>179954</v>
      </c>
      <c r="G60" s="11">
        <f>G6</f>
        <v>203297</v>
      </c>
      <c r="H60" s="11">
        <f>SUM(D60:G60)</f>
        <v>756556</v>
      </c>
      <c r="I60" s="11">
        <f>I6</f>
        <v>205679</v>
      </c>
      <c r="J60" s="11">
        <f>J6</f>
        <v>206142</v>
      </c>
      <c r="K60" s="11">
        <f>K6</f>
        <v>216086</v>
      </c>
      <c r="L60" s="11">
        <f>L6</f>
        <v>233841</v>
      </c>
      <c r="M60" s="11">
        <f>SUM(I60:L60)</f>
        <v>861748</v>
      </c>
      <c r="N60" s="11">
        <f>N6</f>
        <v>244432</v>
      </c>
      <c r="O60" s="11">
        <f>O6</f>
        <v>243549</v>
      </c>
      <c r="P60" s="11">
        <f>P6</f>
        <v>249219</v>
      </c>
      <c r="Q60" s="11">
        <f>Q6</f>
        <v>262387</v>
      </c>
      <c r="R60" s="11">
        <f>SUM(N60:Q60)</f>
        <v>999587</v>
      </c>
      <c r="S60" s="11">
        <f>S6</f>
        <v>287597</v>
      </c>
      <c r="T60" s="11">
        <f>T6</f>
        <v>299928</v>
      </c>
      <c r="U60" s="11">
        <f>U6</f>
        <v>300432</v>
      </c>
      <c r="V60" s="11">
        <f>V6</f>
        <v>311817</v>
      </c>
      <c r="W60" s="11">
        <f>SUM(S60:V60)</f>
        <v>1199774</v>
      </c>
      <c r="X60" s="11"/>
      <c r="Y60" s="11"/>
      <c r="Z60" s="11"/>
      <c r="AA60" s="11"/>
      <c r="AB60" s="11"/>
    </row>
    <row r="61" spans="2:30" x14ac:dyDescent="0.15">
      <c r="B61" s="23" t="s">
        <v>142</v>
      </c>
      <c r="C61" s="18">
        <f>C3/$C$60</f>
        <v>0.5874913096228036</v>
      </c>
      <c r="D61" s="18">
        <f>D3/$D$60</f>
        <v>0.55663890728656584</v>
      </c>
      <c r="E61" s="18">
        <f>E3/$E$60</f>
        <v>0.57736788945706841</v>
      </c>
      <c r="F61" s="18">
        <f>F3/$F$60</f>
        <v>0.57088478166642587</v>
      </c>
      <c r="G61" s="18">
        <f>G3/$G$60</f>
        <v>0.55318573318838937</v>
      </c>
      <c r="H61" s="18">
        <f>H3/$H$60</f>
        <v>0.56428076705491725</v>
      </c>
      <c r="I61" s="18">
        <f>I3/$I$60</f>
        <v>0.50733424413770978</v>
      </c>
      <c r="J61" s="18">
        <f>J3/$J$60</f>
        <v>0.49982051207420131</v>
      </c>
      <c r="K61" s="18">
        <f>K3/$K$60</f>
        <v>0.50248512166452242</v>
      </c>
      <c r="L61" s="18">
        <f>L3/$L$60</f>
        <v>0.58186545558734348</v>
      </c>
      <c r="M61" s="18">
        <f>M3/$H$60</f>
        <v>0.59747857395883452</v>
      </c>
      <c r="N61" s="18">
        <f>N3/$N$60</f>
        <v>0.45441267919094064</v>
      </c>
      <c r="O61" s="18">
        <f>O3/$O$60</f>
        <v>0.45970215439192935</v>
      </c>
      <c r="P61" s="18">
        <f>P3/$P$60</f>
        <v>0.45775803610479138</v>
      </c>
      <c r="Q61" s="18">
        <f>Q3/$Q$60</f>
        <v>0.45190882170229468</v>
      </c>
      <c r="R61" s="18">
        <f>R3/$H$60</f>
        <v>0.60232157302301481</v>
      </c>
      <c r="S61" s="18">
        <f>S3/$S$60</f>
        <v>0.41104044896156777</v>
      </c>
      <c r="T61" s="18">
        <f>T3/$T$60</f>
        <v>0.3891600650822864</v>
      </c>
      <c r="U61" s="18">
        <f>U3/$U$60</f>
        <v>0.39667545401288812</v>
      </c>
      <c r="V61" s="18">
        <f>V3/$V$60</f>
        <v>0.39833941061584199</v>
      </c>
      <c r="W61" s="18">
        <f>W3/$H$60</f>
        <v>0.63222947144692532</v>
      </c>
      <c r="X61" s="18"/>
      <c r="Y61" s="18"/>
      <c r="Z61" s="18"/>
      <c r="AA61" s="18"/>
      <c r="AB61" s="18"/>
    </row>
    <row r="62" spans="2:30" x14ac:dyDescent="0.15">
      <c r="B62" s="23" t="s">
        <v>143</v>
      </c>
      <c r="C62" s="18">
        <f>C4/$C$60</f>
        <v>0.26027918262742478</v>
      </c>
      <c r="D62" s="18">
        <f>D4/$D$60</f>
        <v>0.25503523305935877</v>
      </c>
      <c r="E62" s="18">
        <f>E4/$E$60</f>
        <v>0.25793350713632252</v>
      </c>
      <c r="F62" s="18">
        <f>F4/$F$60</f>
        <v>0.27232514976049432</v>
      </c>
      <c r="G62" s="18">
        <f>G4/$G$60</f>
        <v>0.28557725888724378</v>
      </c>
      <c r="H62" s="18">
        <f>H4/$H$60</f>
        <v>0.26807929617900061</v>
      </c>
      <c r="I62" s="18">
        <f>I4/$I$60</f>
        <v>0.28862936906538827</v>
      </c>
      <c r="J62" s="18">
        <f>J4/$J$60</f>
        <v>0.31822239039108963</v>
      </c>
      <c r="K62" s="18">
        <f>K4/$K$60</f>
        <v>0.34542728358153696</v>
      </c>
      <c r="L62" s="18">
        <f>L4/$L$60</f>
        <v>0.26375186558387964</v>
      </c>
      <c r="M62" s="18">
        <f>M4/$H$60</f>
        <v>0.34535711830981447</v>
      </c>
      <c r="N62" s="18">
        <f>N4/$N$60</f>
        <v>0.36198206454146759</v>
      </c>
      <c r="O62" s="18">
        <f>O4/$O$60</f>
        <v>0.38052301590234411</v>
      </c>
      <c r="P62" s="18">
        <f>P4/$P$60</f>
        <v>0.40127357865973301</v>
      </c>
      <c r="Q62" s="18">
        <f>Q4/$Q$60</f>
        <v>0.40182249882806692</v>
      </c>
      <c r="R62" s="18">
        <f>R4/$H$60</f>
        <v>0.51099191599828697</v>
      </c>
      <c r="S62" s="18">
        <f>S4/$S$60</f>
        <v>0.42296685987684157</v>
      </c>
      <c r="T62" s="18">
        <f>T4/$T$60</f>
        <v>0.46239097383372008</v>
      </c>
      <c r="U62" s="18">
        <f>U4/$U$60</f>
        <v>0.46916773179954202</v>
      </c>
      <c r="V62" s="18">
        <f>V4/$V$60</f>
        <v>0.46223586270152045</v>
      </c>
      <c r="W62" s="18">
        <f>W4/$H$60</f>
        <v>0.72091689180972729</v>
      </c>
      <c r="X62" s="18"/>
      <c r="Y62" s="18"/>
      <c r="Z62" s="18"/>
      <c r="AA62" s="18"/>
      <c r="AB62" s="18"/>
    </row>
    <row r="63" spans="2:30" x14ac:dyDescent="0.15">
      <c r="B63" s="23" t="s">
        <v>144</v>
      </c>
      <c r="C63" s="18">
        <f>C5/$C$60</f>
        <v>0.15222950774977168</v>
      </c>
      <c r="D63" s="18">
        <f>D5/$D$60</f>
        <v>0.18832585965407542</v>
      </c>
      <c r="E63" s="18">
        <f>E5/$E$60</f>
        <v>0.16469860340660911</v>
      </c>
      <c r="F63" s="18">
        <f>F5/$F$60</f>
        <v>0.15679006857307978</v>
      </c>
      <c r="G63" s="18">
        <f>G5/$G$60</f>
        <v>0.16123700792436682</v>
      </c>
      <c r="H63" s="18">
        <f>H5/$H$60</f>
        <v>0.16763993676608208</v>
      </c>
      <c r="I63" s="18">
        <f>I5/$I$60</f>
        <v>0.20403638679690198</v>
      </c>
      <c r="J63" s="18">
        <f>J5/$J$60</f>
        <v>0.18195709753470909</v>
      </c>
      <c r="K63" s="18">
        <f>K5/$K$60</f>
        <v>0.15208759475394057</v>
      </c>
      <c r="L63" s="18">
        <f>L5/$L$60</f>
        <v>0.15438267882877682</v>
      </c>
      <c r="M63" s="18">
        <f>M5/$H$60</f>
        <v>0.19620490750189015</v>
      </c>
      <c r="N63" s="18">
        <f>N5/$N$60</f>
        <v>0.1836052562675918</v>
      </c>
      <c r="O63" s="18">
        <f>O5/$O$60</f>
        <v>0.15977482970572657</v>
      </c>
      <c r="P63" s="18">
        <f>P5/$P$60</f>
        <v>0.14096838523547561</v>
      </c>
      <c r="Q63" s="18">
        <f>Q5/$Q$60</f>
        <v>0.14626867946963837</v>
      </c>
      <c r="R63" s="18">
        <f>R5/$H$60</f>
        <v>0.20791983673383069</v>
      </c>
      <c r="S63" s="18">
        <f>S5/$S$60</f>
        <v>0.16599269116159071</v>
      </c>
      <c r="T63" s="18">
        <f>T5/$T$60</f>
        <v>0.1484489610839935</v>
      </c>
      <c r="U63" s="18">
        <f>U5/$U$60</f>
        <v>0.13415681418756989</v>
      </c>
      <c r="V63" s="18">
        <f>V5/$V$60</f>
        <v>0.13942472668263758</v>
      </c>
      <c r="W63" s="18">
        <f>W5/$H$60</f>
        <v>0.23268997932737298</v>
      </c>
      <c r="X63" s="18"/>
      <c r="Y63" s="18"/>
      <c r="Z63" s="18"/>
      <c r="AA63" s="18"/>
      <c r="AB63" s="18"/>
    </row>
    <row r="64" spans="2:30" x14ac:dyDescent="0.15">
      <c r="X64" s="14"/>
      <c r="Y64" s="14"/>
      <c r="Z64" s="14"/>
      <c r="AA64" s="14"/>
      <c r="AB64" s="14"/>
    </row>
    <row r="65" spans="1:30" x14ac:dyDescent="0.15">
      <c r="X65" s="14"/>
      <c r="Y65" s="14"/>
      <c r="Z65" s="14"/>
      <c r="AA65" s="14"/>
      <c r="AB65" s="14"/>
    </row>
    <row r="66" spans="1:30" x14ac:dyDescent="0.15">
      <c r="A66" s="4" t="s">
        <v>36</v>
      </c>
      <c r="B66" s="90" t="s">
        <v>145</v>
      </c>
      <c r="C66" s="91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74"/>
      <c r="Y66" s="74"/>
      <c r="Z66" s="74"/>
      <c r="AA66" s="74"/>
      <c r="AB66" s="92"/>
    </row>
    <row r="67" spans="1:30" x14ac:dyDescent="0.15">
      <c r="B67" s="93" t="s">
        <v>163</v>
      </c>
      <c r="C67" s="24">
        <f t="shared" ref="C67:W67" si="49">C5/C25</f>
        <v>8.7174863387978139</v>
      </c>
      <c r="D67" s="24">
        <f t="shared" si="49"/>
        <v>2.7033977556109727</v>
      </c>
      <c r="E67" s="24">
        <f t="shared" si="49"/>
        <v>2.3697025032336607</v>
      </c>
      <c r="F67" s="24">
        <f t="shared" si="49"/>
        <v>2.1172895092300767</v>
      </c>
      <c r="G67" s="24">
        <f t="shared" si="49"/>
        <v>2.2764775331620251</v>
      </c>
      <c r="H67" s="24">
        <f t="shared" si="49"/>
        <v>8.8081811236891454</v>
      </c>
      <c r="I67" s="24">
        <f t="shared" si="49"/>
        <v>2.9034177390341775</v>
      </c>
      <c r="J67" s="24">
        <f t="shared" si="49"/>
        <v>2.5786470507355976</v>
      </c>
      <c r="K67" s="24">
        <f t="shared" si="49"/>
        <v>2.2666390785571418</v>
      </c>
      <c r="L67" s="24">
        <f t="shared" si="49"/>
        <v>2.4201246899510624</v>
      </c>
      <c r="M67" s="24">
        <f t="shared" si="49"/>
        <v>9.9510625460883553</v>
      </c>
      <c r="N67" s="24">
        <f t="shared" si="49"/>
        <v>2.9921328088539236</v>
      </c>
      <c r="O67" s="24">
        <f t="shared" si="49"/>
        <v>2.5950650216738911</v>
      </c>
      <c r="P67" s="24">
        <f t="shared" si="49"/>
        <v>2.2993651416977552</v>
      </c>
      <c r="Q67" s="24">
        <f t="shared" si="49"/>
        <v>2.4448337367817556</v>
      </c>
      <c r="R67" s="24">
        <f t="shared" si="49"/>
        <v>10.02057586953752</v>
      </c>
      <c r="S67" s="24">
        <f t="shared" si="49"/>
        <v>2.9818238600874452</v>
      </c>
      <c r="T67" s="24">
        <f t="shared" si="49"/>
        <v>2.7347214544561145</v>
      </c>
      <c r="U67" s="24">
        <f t="shared" si="49"/>
        <v>2.4482172143594729</v>
      </c>
      <c r="V67" s="24">
        <f t="shared" si="49"/>
        <v>2.5523982856807375</v>
      </c>
      <c r="W67" s="24">
        <f t="shared" si="49"/>
        <v>10.335407737920507</v>
      </c>
      <c r="X67" s="24">
        <f>W67*(1+X68)</f>
        <v>10.438761815299712</v>
      </c>
      <c r="Y67" s="24">
        <f t="shared" ref="Y67:AB67" si="50">X67*(1+Y68)</f>
        <v>10.553588195268008</v>
      </c>
      <c r="Z67" s="24">
        <f t="shared" si="50"/>
        <v>10.680231253611224</v>
      </c>
      <c r="AA67" s="24">
        <f t="shared" si="50"/>
        <v>10.819074259908168</v>
      </c>
      <c r="AB67" s="94">
        <f t="shared" si="50"/>
        <v>10.970541299546882</v>
      </c>
    </row>
    <row r="68" spans="1:30" x14ac:dyDescent="0.15">
      <c r="B68" s="95" t="s">
        <v>156</v>
      </c>
      <c r="C68" s="21"/>
      <c r="D68" s="21"/>
      <c r="E68" s="21"/>
      <c r="F68" s="21"/>
      <c r="G68" s="21"/>
      <c r="H68" s="56">
        <f>H67/C67-1</f>
        <v>1.0403777117227841E-2</v>
      </c>
      <c r="I68" s="56">
        <f t="shared" ref="I68:W68" si="51">I67/D67-1</f>
        <v>7.3988366309788445E-2</v>
      </c>
      <c r="J68" s="56">
        <f t="shared" si="51"/>
        <v>8.8173324380091733E-2</v>
      </c>
      <c r="K68" s="56">
        <f t="shared" si="51"/>
        <v>7.0538095369571785E-2</v>
      </c>
      <c r="L68" s="56">
        <f t="shared" si="51"/>
        <v>6.3100625723949699E-2</v>
      </c>
      <c r="M68" s="56">
        <f t="shared" si="51"/>
        <v>0.12975226171558729</v>
      </c>
      <c r="N68" s="56">
        <f t="shared" si="51"/>
        <v>3.0555392917471558E-2</v>
      </c>
      <c r="O68" s="56">
        <f t="shared" si="51"/>
        <v>6.3668934194038851E-3</v>
      </c>
      <c r="P68" s="56">
        <f t="shared" si="51"/>
        <v>1.4438144762529026E-2</v>
      </c>
      <c r="Q68" s="56">
        <f t="shared" si="51"/>
        <v>1.0209823871179413E-2</v>
      </c>
      <c r="R68" s="56">
        <f t="shared" si="51"/>
        <v>6.9855176899165095E-3</v>
      </c>
      <c r="S68" s="56">
        <f t="shared" si="51"/>
        <v>-3.4453513346645037E-3</v>
      </c>
      <c r="T68" s="56">
        <f t="shared" si="51"/>
        <v>5.3816159370118966E-2</v>
      </c>
      <c r="U68" s="56">
        <f t="shared" si="51"/>
        <v>6.4736161283114768E-2</v>
      </c>
      <c r="V68" s="56">
        <f t="shared" si="51"/>
        <v>4.3996672362912381E-2</v>
      </c>
      <c r="W68" s="56">
        <f t="shared" si="51"/>
        <v>3.1418540459343669E-2</v>
      </c>
      <c r="X68" s="96">
        <v>0.01</v>
      </c>
      <c r="Y68" s="96">
        <f>X68+$AC68</f>
        <v>1.0999999999999999E-2</v>
      </c>
      <c r="Z68" s="96">
        <f t="shared" ref="Z68:AB68" si="52">Y68+$AC68</f>
        <v>1.2E-2</v>
      </c>
      <c r="AA68" s="96">
        <f t="shared" si="52"/>
        <v>1.3000000000000001E-2</v>
      </c>
      <c r="AB68" s="97">
        <f t="shared" si="52"/>
        <v>1.4000000000000002E-2</v>
      </c>
      <c r="AC68" s="17">
        <v>1E-3</v>
      </c>
      <c r="AD68" s="4" t="s">
        <v>161</v>
      </c>
    </row>
  </sheetData>
  <mergeCells count="2">
    <mergeCell ref="X1:AB1"/>
    <mergeCell ref="C1:W1"/>
  </mergeCells>
  <pageMargins left="0.7" right="0.7" top="0.75" bottom="0.75" header="0.3" footer="0.3"/>
  <pageSetup orientation="portrait" horizontalDpi="300" verticalDpi="300" r:id="rId1"/>
  <ignoredErrors>
    <ignoredError sqref="I22:L22 H25:W25 S22:V22 N22:Q2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2AEE-D3F2-4F4E-88C9-D86EBC62BFEF}">
  <dimension ref="A1:O61"/>
  <sheetViews>
    <sheetView showGridLines="0" topLeftCell="B1" workbookViewId="0">
      <pane ySplit="2" topLeftCell="A39" activePane="bottomLeft" state="frozen"/>
      <selection pane="bottomLeft" activeCell="B2" sqref="B2"/>
    </sheetView>
  </sheetViews>
  <sheetFormatPr baseColWidth="10" defaultColWidth="11" defaultRowHeight="16" x14ac:dyDescent="0.2"/>
  <cols>
    <col min="1" max="1" width="2" bestFit="1" customWidth="1"/>
    <col min="2" max="2" width="44.33203125" customWidth="1"/>
    <col min="3" max="3" width="9.6640625" customWidth="1"/>
    <col min="7" max="8" width="10.83203125" customWidth="1"/>
    <col min="9" max="11" width="11" customWidth="1"/>
    <col min="12" max="12" width="10.6640625" customWidth="1"/>
  </cols>
  <sheetData>
    <row r="1" spans="1:15" x14ac:dyDescent="0.2">
      <c r="B1" s="112" t="s">
        <v>276</v>
      </c>
      <c r="C1" s="321" t="s">
        <v>0</v>
      </c>
      <c r="D1" s="321"/>
      <c r="E1" s="321"/>
      <c r="F1" s="321"/>
      <c r="G1" s="322"/>
      <c r="H1" s="323" t="s">
        <v>1</v>
      </c>
      <c r="I1" s="324"/>
      <c r="J1" s="324"/>
      <c r="K1" s="324"/>
      <c r="L1" s="324"/>
      <c r="M1" s="155"/>
    </row>
    <row r="2" spans="1:15" x14ac:dyDescent="0.2">
      <c r="B2" s="113"/>
      <c r="C2" s="9">
        <v>2020</v>
      </c>
      <c r="D2" s="9">
        <f>C2+1</f>
        <v>2021</v>
      </c>
      <c r="E2" s="9">
        <f t="shared" ref="E2:G2" si="0">D2+1</f>
        <v>2022</v>
      </c>
      <c r="F2" s="9">
        <f t="shared" si="0"/>
        <v>2023</v>
      </c>
      <c r="G2" s="9">
        <f t="shared" si="0"/>
        <v>2024</v>
      </c>
      <c r="H2" s="136">
        <f>G2+1</f>
        <v>2025</v>
      </c>
      <c r="I2" s="107">
        <f t="shared" ref="I2:L2" si="1">H2+1</f>
        <v>2026</v>
      </c>
      <c r="J2" s="107">
        <f t="shared" si="1"/>
        <v>2027</v>
      </c>
      <c r="K2" s="107">
        <f t="shared" si="1"/>
        <v>2028</v>
      </c>
      <c r="L2" s="107">
        <f t="shared" si="1"/>
        <v>2029</v>
      </c>
      <c r="M2" s="155"/>
    </row>
    <row r="3" spans="1:15" x14ac:dyDescent="0.2">
      <c r="A3" s="115" t="s">
        <v>36</v>
      </c>
      <c r="B3" s="116" t="s">
        <v>80</v>
      </c>
      <c r="M3" s="155"/>
    </row>
    <row r="4" spans="1:15" ht="17" thickBot="1" x14ac:dyDescent="0.25">
      <c r="M4" s="155"/>
      <c r="N4" s="23"/>
    </row>
    <row r="5" spans="1:15" x14ac:dyDescent="0.2">
      <c r="B5" s="162" t="s">
        <v>169</v>
      </c>
      <c r="C5" s="163">
        <f>'Balance Sheet'!C6/'annual IS'!C8</f>
        <v>9.919571411044617E-2</v>
      </c>
      <c r="D5" s="163">
        <f>'Balance Sheet'!H6/'annual IS'!D8</f>
        <v>0.11556051369627629</v>
      </c>
      <c r="E5" s="163">
        <f>'Balance Sheet'!M6/'annual IS'!E8</f>
        <v>0.11237043776138732</v>
      </c>
      <c r="F5" s="163">
        <f>'Balance Sheet'!R6/'annual IS'!F8</f>
        <v>0.10493633870788635</v>
      </c>
      <c r="G5" s="296">
        <f>'Balance Sheet'!W6/'annual IS'!G8</f>
        <v>9.8356857208107523E-2</v>
      </c>
      <c r="H5" s="164">
        <f>AVERAGE(C5,D5,E5,F5,G5)</f>
        <v>0.10608397229682072</v>
      </c>
      <c r="I5" s="164">
        <f>H5</f>
        <v>0.10608397229682072</v>
      </c>
      <c r="J5" s="164">
        <f t="shared" ref="J5:L5" si="2">I5</f>
        <v>0.10608397229682072</v>
      </c>
      <c r="K5" s="164">
        <f t="shared" si="2"/>
        <v>0.10608397229682072</v>
      </c>
      <c r="L5" s="165">
        <f t="shared" si="2"/>
        <v>0.10608397229682072</v>
      </c>
      <c r="M5" s="155"/>
      <c r="N5" s="23"/>
    </row>
    <row r="6" spans="1:15" x14ac:dyDescent="0.2">
      <c r="B6" s="126"/>
      <c r="G6" s="120"/>
      <c r="H6" s="156"/>
      <c r="L6" s="125"/>
      <c r="M6" s="155"/>
      <c r="N6" s="23"/>
    </row>
    <row r="7" spans="1:15" x14ac:dyDescent="0.2">
      <c r="B7" s="126" t="s">
        <v>170</v>
      </c>
      <c r="C7" s="140">
        <f>'Balance Sheet'!C7/'annual IS'!C8</f>
        <v>7.9892852761154348E-2</v>
      </c>
      <c r="D7" s="140">
        <f>'Balance Sheet'!H7/'annual IS'!D8</f>
        <v>5.0881891095966456E-2</v>
      </c>
      <c r="E7" s="140">
        <f>'Balance Sheet'!M7/'annual IS'!E8</f>
        <v>3.6892455799143138E-2</v>
      </c>
      <c r="F7" s="140">
        <f>'Balance Sheet'!R7/'annual IS'!F8</f>
        <v>4.8584065218935421E-2</v>
      </c>
      <c r="G7" s="141">
        <f>'Balance Sheet'!W7/'annual IS'!G8</f>
        <v>5.317251415683287E-2</v>
      </c>
      <c r="H7" s="156">
        <f>AVERAGE(E7,F7,G7)</f>
        <v>4.6216345058303819E-2</v>
      </c>
      <c r="I7" s="156">
        <f>H7</f>
        <v>4.6216345058303819E-2</v>
      </c>
      <c r="J7" s="156">
        <f t="shared" ref="J7:L7" si="3">I7</f>
        <v>4.6216345058303819E-2</v>
      </c>
      <c r="K7" s="156">
        <f t="shared" si="3"/>
        <v>4.6216345058303819E-2</v>
      </c>
      <c r="L7" s="157">
        <f t="shared" si="3"/>
        <v>4.6216345058303819E-2</v>
      </c>
      <c r="M7" s="155"/>
      <c r="N7" s="23"/>
    </row>
    <row r="8" spans="1:15" x14ac:dyDescent="0.2">
      <c r="B8" s="126"/>
      <c r="G8" s="120"/>
      <c r="H8" s="156"/>
      <c r="L8" s="125"/>
      <c r="M8" s="155"/>
      <c r="N8" s="23"/>
    </row>
    <row r="9" spans="1:15" x14ac:dyDescent="0.2">
      <c r="B9" s="166" t="s">
        <v>171</v>
      </c>
      <c r="C9" s="140">
        <f>'Balance Sheet'!C10/'annual IS'!C8</f>
        <v>0.12201698542743024</v>
      </c>
      <c r="D9" s="140">
        <f>'Balance Sheet'!H10/'annual IS'!D8</f>
        <v>8.4082341558324836E-2</v>
      </c>
      <c r="E9" s="140">
        <f>'Balance Sheet'!M10/'annual IS'!E8</f>
        <v>6.5519154091451329E-2</v>
      </c>
      <c r="F9" s="140">
        <f>'Balance Sheet'!R10/'annual IS'!F8</f>
        <v>4.8399989195537757E-2</v>
      </c>
      <c r="G9" s="141">
        <f>'Balance Sheet'!W10/'annual IS'!G8</f>
        <v>3.5994278922530411E-2</v>
      </c>
      <c r="H9" s="156">
        <f>G9-$M$9</f>
        <v>3.3494278922530409E-2</v>
      </c>
      <c r="I9" s="156">
        <f>H9-$M$9</f>
        <v>3.099427892253041E-2</v>
      </c>
      <c r="J9" s="156">
        <f t="shared" ref="J9:L9" si="4">I9-$M$9</f>
        <v>2.8494278922530411E-2</v>
      </c>
      <c r="K9" s="156">
        <f t="shared" si="4"/>
        <v>2.5994278922530412E-2</v>
      </c>
      <c r="L9" s="157">
        <f t="shared" si="4"/>
        <v>2.3494278922530414E-2</v>
      </c>
      <c r="M9" s="139">
        <v>2.5000000000000001E-3</v>
      </c>
      <c r="N9" s="23" t="s">
        <v>162</v>
      </c>
    </row>
    <row r="10" spans="1:15" x14ac:dyDescent="0.2">
      <c r="B10" s="126"/>
      <c r="G10" s="120"/>
      <c r="H10" s="156"/>
      <c r="L10" s="125"/>
      <c r="M10" s="155"/>
      <c r="N10" s="23"/>
    </row>
    <row r="11" spans="1:15" ht="17" thickBot="1" x14ac:dyDescent="0.25">
      <c r="B11" s="167" t="s">
        <v>172</v>
      </c>
      <c r="C11" s="168">
        <f>'Balance Sheet'!C13/'annual IS'!C8</f>
        <v>5.1010810147634172E-2</v>
      </c>
      <c r="D11" s="168">
        <f>'Balance Sheet'!H13/'annual IS'!D8</f>
        <v>6.5833857639090831E-2</v>
      </c>
      <c r="E11" s="168">
        <f>'Balance Sheet'!M13/'annual IS'!E8</f>
        <v>6.0551344476575515E-2</v>
      </c>
      <c r="F11" s="168">
        <f>'Balance Sheet'!R13/'annual IS'!F8</f>
        <v>6.7896041064959833E-2</v>
      </c>
      <c r="G11" s="297">
        <f>'Balance Sheet'!W13/'annual IS'!G8</f>
        <v>5.9656235257640189E-2</v>
      </c>
      <c r="H11" s="159">
        <v>7.0000000000000007E-2</v>
      </c>
      <c r="I11" s="159">
        <f>H11+$M$11</f>
        <v>7.1000000000000008E-2</v>
      </c>
      <c r="J11" s="159">
        <f t="shared" ref="J11:L11" si="5">I11+$M$11</f>
        <v>7.2000000000000008E-2</v>
      </c>
      <c r="K11" s="159">
        <f t="shared" si="5"/>
        <v>7.3000000000000009E-2</v>
      </c>
      <c r="L11" s="160">
        <f t="shared" si="5"/>
        <v>7.400000000000001E-2</v>
      </c>
      <c r="M11" s="139">
        <v>1E-3</v>
      </c>
      <c r="N11" t="s">
        <v>161</v>
      </c>
    </row>
    <row r="12" spans="1:15" ht="17" thickBot="1" x14ac:dyDescent="0.25">
      <c r="G12" s="120"/>
      <c r="M12" s="139"/>
    </row>
    <row r="13" spans="1:15" x14ac:dyDescent="0.2">
      <c r="A13" s="115" t="s">
        <v>36</v>
      </c>
      <c r="B13" s="121" t="s">
        <v>173</v>
      </c>
      <c r="C13" s="122"/>
      <c r="D13" s="122"/>
      <c r="E13" s="122"/>
      <c r="F13" s="122"/>
      <c r="G13" s="144"/>
      <c r="H13" s="122"/>
      <c r="I13" s="122"/>
      <c r="J13" s="122"/>
      <c r="K13" s="122"/>
      <c r="L13" s="123"/>
      <c r="M13" s="155"/>
    </row>
    <row r="14" spans="1:15" x14ac:dyDescent="0.2">
      <c r="B14" s="124" t="s">
        <v>174</v>
      </c>
      <c r="G14" s="145">
        <f>F17</f>
        <v>6013</v>
      </c>
      <c r="H14" s="119">
        <f>G17</f>
        <v>3239</v>
      </c>
      <c r="I14" s="119">
        <f>H17</f>
        <v>1434.7951178009616</v>
      </c>
      <c r="J14" s="119">
        <f t="shared" ref="J14:L14" si="6">I17</f>
        <v>567.13292538528731</v>
      </c>
      <c r="K14" s="119">
        <f t="shared" si="6"/>
        <v>807.19999148200122</v>
      </c>
      <c r="L14" s="137">
        <f t="shared" si="6"/>
        <v>2301.6738630299947</v>
      </c>
      <c r="M14" s="155"/>
    </row>
    <row r="15" spans="1:15" x14ac:dyDescent="0.2">
      <c r="B15" s="126" t="s">
        <v>175</v>
      </c>
      <c r="C15" s="193">
        <v>13090</v>
      </c>
      <c r="D15" s="193">
        <v>8910</v>
      </c>
      <c r="E15" s="193">
        <v>3371</v>
      </c>
      <c r="F15" s="193">
        <v>1694</v>
      </c>
      <c r="G15" s="298">
        <v>2084</v>
      </c>
      <c r="H15" s="142">
        <f>H27*'annual IS'!H8</f>
        <v>2661.3065656706581</v>
      </c>
      <c r="I15" s="142">
        <f>I27*'annual IS'!I8</f>
        <v>3250.8453101337873</v>
      </c>
      <c r="J15" s="142">
        <f>J27*'annual IS'!J8</f>
        <v>3903.8289722678651</v>
      </c>
      <c r="K15" s="142">
        <f>K27*'annual IS'!K8</f>
        <v>4530.0607234678519</v>
      </c>
      <c r="L15" s="143">
        <f>L27*'annual IS'!L8</f>
        <v>5219.8917971710216</v>
      </c>
      <c r="M15" s="155"/>
    </row>
    <row r="16" spans="1:15" s="181" customFormat="1" x14ac:dyDescent="0.2">
      <c r="B16" s="183" t="s">
        <v>176</v>
      </c>
      <c r="C16" s="299">
        <v>16000</v>
      </c>
      <c r="D16" s="299">
        <v>14700</v>
      </c>
      <c r="E16" s="299">
        <v>12300</v>
      </c>
      <c r="F16" s="299">
        <v>8800</v>
      </c>
      <c r="G16" s="300">
        <v>4600</v>
      </c>
      <c r="H16" s="301">
        <f>H26*'annual IS'!H8</f>
        <v>4465.5114478696969</v>
      </c>
      <c r="I16" s="301">
        <f>I26*'annual IS'!I8</f>
        <v>4118.5075025494616</v>
      </c>
      <c r="J16" s="301">
        <f>J26*'annual IS'!J8</f>
        <v>3663.7619061711516</v>
      </c>
      <c r="K16" s="301">
        <f>K26*'annual IS'!K8</f>
        <v>3035.586851919858</v>
      </c>
      <c r="L16" s="302">
        <f>L26*'annual IS'!L8</f>
        <v>2331.3154885503764</v>
      </c>
      <c r="M16" s="184"/>
      <c r="O16" s="181" t="s">
        <v>186</v>
      </c>
    </row>
    <row r="17" spans="1:15" ht="17" thickBot="1" x14ac:dyDescent="0.25">
      <c r="A17" s="115" t="s">
        <v>36</v>
      </c>
      <c r="B17" s="127" t="s">
        <v>177</v>
      </c>
      <c r="C17" s="128"/>
      <c r="D17" s="128"/>
      <c r="E17" s="128"/>
      <c r="F17" s="129">
        <f>'Balance Sheet'!R9</f>
        <v>6013</v>
      </c>
      <c r="G17" s="146">
        <f>'Balance Sheet'!W9</f>
        <v>3239</v>
      </c>
      <c r="H17" s="129">
        <f>H14+H15-H16</f>
        <v>1434.7951178009616</v>
      </c>
      <c r="I17" s="129">
        <f>I14+I15-I16</f>
        <v>567.13292538528731</v>
      </c>
      <c r="J17" s="129">
        <f t="shared" ref="J17:L17" si="7">J14+J15-J16</f>
        <v>807.19999148200122</v>
      </c>
      <c r="K17" s="129">
        <f t="shared" si="7"/>
        <v>2301.6738630299947</v>
      </c>
      <c r="L17" s="138">
        <f t="shared" si="7"/>
        <v>5190.2501716506404</v>
      </c>
      <c r="M17" s="155"/>
    </row>
    <row r="18" spans="1:15" x14ac:dyDescent="0.2">
      <c r="G18" s="120"/>
      <c r="M18" s="155"/>
    </row>
    <row r="19" spans="1:15" ht="17" thickBot="1" x14ac:dyDescent="0.25">
      <c r="B19" s="131" t="s">
        <v>181</v>
      </c>
      <c r="F19" s="115"/>
      <c r="G19" s="177"/>
      <c r="M19" s="155"/>
    </row>
    <row r="20" spans="1:15" x14ac:dyDescent="0.2">
      <c r="B20" s="134" t="s">
        <v>182</v>
      </c>
      <c r="C20" s="122"/>
      <c r="D20" s="122"/>
      <c r="E20" s="122"/>
      <c r="F20" s="303">
        <v>1437450</v>
      </c>
      <c r="G20" s="304">
        <v>1954752</v>
      </c>
      <c r="H20" s="122">
        <f>G20</f>
        <v>1954752</v>
      </c>
      <c r="I20" s="122">
        <f t="shared" ref="I20:L20" si="8">H20</f>
        <v>1954752</v>
      </c>
      <c r="J20" s="122">
        <f t="shared" si="8"/>
        <v>1954752</v>
      </c>
      <c r="K20" s="122">
        <f t="shared" si="8"/>
        <v>1954752</v>
      </c>
      <c r="L20" s="123">
        <f t="shared" si="8"/>
        <v>1954752</v>
      </c>
      <c r="M20" s="155"/>
    </row>
    <row r="21" spans="1:15" s="181" customFormat="1" x14ac:dyDescent="0.2">
      <c r="B21" s="185" t="s">
        <v>185</v>
      </c>
      <c r="C21" s="305">
        <v>195749</v>
      </c>
      <c r="D21" s="305">
        <v>316717</v>
      </c>
      <c r="E21" s="305">
        <v>463530</v>
      </c>
      <c r="F21" s="305">
        <v>601502</v>
      </c>
      <c r="G21" s="306">
        <v>750094</v>
      </c>
      <c r="H21" s="181">
        <f>G21+H24</f>
        <v>896603</v>
      </c>
      <c r="I21" s="181">
        <f t="shared" ref="I21:L21" si="9">H21+I24</f>
        <v>1026203.5308772465</v>
      </c>
      <c r="J21" s="181">
        <f t="shared" si="9"/>
        <v>1137847.5308772465</v>
      </c>
      <c r="K21" s="181">
        <f t="shared" si="9"/>
        <v>1236002.5308772465</v>
      </c>
      <c r="L21" s="186">
        <f t="shared" si="9"/>
        <v>1333132.5308772465</v>
      </c>
      <c r="M21" s="184"/>
    </row>
    <row r="22" spans="1:15" x14ac:dyDescent="0.2">
      <c r="B22" s="135" t="s">
        <v>86</v>
      </c>
      <c r="F22">
        <f>F20-F21</f>
        <v>835948</v>
      </c>
      <c r="G22" s="120">
        <f>G20-G21</f>
        <v>1204658</v>
      </c>
      <c r="H22">
        <f t="shared" ref="H22:L22" si="10">H20-H21</f>
        <v>1058149</v>
      </c>
      <c r="I22">
        <f t="shared" si="10"/>
        <v>928548.46912275348</v>
      </c>
      <c r="J22">
        <f t="shared" si="10"/>
        <v>816904.46912275348</v>
      </c>
      <c r="K22">
        <f t="shared" si="10"/>
        <v>718749.46912275348</v>
      </c>
      <c r="L22" s="125">
        <f t="shared" si="10"/>
        <v>621619.46912275348</v>
      </c>
      <c r="M22" s="155"/>
    </row>
    <row r="23" spans="1:15" x14ac:dyDescent="0.2">
      <c r="B23" s="132"/>
      <c r="G23" s="120"/>
      <c r="L23" s="125"/>
      <c r="M23" s="155"/>
    </row>
    <row r="24" spans="1:15" ht="17" thickBot="1" x14ac:dyDescent="0.25">
      <c r="B24" s="133" t="s">
        <v>183</v>
      </c>
      <c r="C24" s="128"/>
      <c r="D24" s="128"/>
      <c r="E24" s="128"/>
      <c r="F24" s="128"/>
      <c r="G24" s="172"/>
      <c r="H24" s="128">
        <f>146511-2</f>
        <v>146509</v>
      </c>
      <c r="I24" s="128">
        <f>129812-211.469122753479</f>
        <v>129600.53087724652</v>
      </c>
      <c r="J24" s="128">
        <v>111644</v>
      </c>
      <c r="K24" s="128">
        <v>98155</v>
      </c>
      <c r="L24" s="130">
        <v>97130</v>
      </c>
      <c r="M24" s="155"/>
      <c r="O24" t="s">
        <v>184</v>
      </c>
    </row>
    <row r="25" spans="1:15" x14ac:dyDescent="0.2">
      <c r="G25" s="120"/>
      <c r="M25" s="155"/>
    </row>
    <row r="26" spans="1:15" x14ac:dyDescent="0.2">
      <c r="B26" t="s">
        <v>178</v>
      </c>
      <c r="C26" s="118">
        <f>C16/'annual IS'!C8</f>
        <v>2.1811142767561378E-2</v>
      </c>
      <c r="D26" s="118">
        <f>D16/'annual IS'!D8</f>
        <v>1.943015454242647E-2</v>
      </c>
      <c r="E26" s="118">
        <f>E16/'annual IS'!E8</f>
        <v>1.427331424035797E-2</v>
      </c>
      <c r="F26" s="118">
        <f>F16/'annual IS'!F8</f>
        <v>8.8036359016273723E-3</v>
      </c>
      <c r="G26" s="141">
        <f>G16/'annual IS'!G8</f>
        <v>3.8340554137695931E-3</v>
      </c>
      <c r="H26" s="140">
        <f>G26-$M$26</f>
        <v>3.3340554137695931E-3</v>
      </c>
      <c r="I26" s="140">
        <f>H26-$M$26</f>
        <v>2.8340554137695931E-3</v>
      </c>
      <c r="J26" s="140">
        <f>I26-$M$26</f>
        <v>2.3340554137695931E-3</v>
      </c>
      <c r="K26" s="140">
        <f>J26-$M$26</f>
        <v>1.834055413769593E-3</v>
      </c>
      <c r="L26" s="140">
        <f>K26-$M$26</f>
        <v>1.334055413769593E-3</v>
      </c>
      <c r="M26" s="139">
        <v>5.0000000000000001E-4</v>
      </c>
      <c r="N26" t="s">
        <v>162</v>
      </c>
    </row>
    <row r="27" spans="1:15" x14ac:dyDescent="0.2">
      <c r="B27" t="s">
        <v>179</v>
      </c>
      <c r="C27" s="118">
        <f>C15/'annual IS'!C8</f>
        <v>1.7844241176711153E-2</v>
      </c>
      <c r="D27" s="118">
        <f>D15/'annual IS'!D8</f>
        <v>1.1777052855307472E-2</v>
      </c>
      <c r="E27" s="118">
        <f>E15/'annual IS'!E8</f>
        <v>3.9118164474997328E-3</v>
      </c>
      <c r="F27" s="118">
        <f>F15/'annual IS'!F8</f>
        <v>1.6946999110632691E-3</v>
      </c>
      <c r="G27" s="141">
        <f>G15/'annual IS'!G8</f>
        <v>1.7369938004990939E-3</v>
      </c>
      <c r="H27" s="140">
        <f>G27+$M$27</f>
        <v>1.9869938004990939E-3</v>
      </c>
      <c r="I27" s="140">
        <f>H27+$M$27</f>
        <v>2.2369938004990937E-3</v>
      </c>
      <c r="J27" s="140">
        <f>I27+$M$27</f>
        <v>2.4869938004990939E-3</v>
      </c>
      <c r="K27" s="140">
        <f>J27+$M$27</f>
        <v>2.7369938004990942E-3</v>
      </c>
      <c r="L27" s="140">
        <f>K27+$M$27</f>
        <v>2.9869938004990944E-3</v>
      </c>
      <c r="M27" s="139">
        <v>2.5000000000000001E-4</v>
      </c>
      <c r="N27" t="s">
        <v>161</v>
      </c>
    </row>
    <row r="28" spans="1:15" x14ac:dyDescent="0.2">
      <c r="G28" s="120"/>
      <c r="M28" s="155"/>
    </row>
    <row r="29" spans="1:15" x14ac:dyDescent="0.2">
      <c r="A29" s="115" t="s">
        <v>36</v>
      </c>
      <c r="B29" s="115" t="s">
        <v>187</v>
      </c>
      <c r="G29" s="120"/>
      <c r="M29" s="155"/>
    </row>
    <row r="30" spans="1:15" ht="17" thickBot="1" x14ac:dyDescent="0.25">
      <c r="A30" s="115"/>
      <c r="B30" s="115"/>
      <c r="G30" s="120"/>
      <c r="M30" s="155"/>
    </row>
    <row r="31" spans="1:15" x14ac:dyDescent="0.2">
      <c r="B31" s="147" t="s">
        <v>191</v>
      </c>
      <c r="C31" s="122"/>
      <c r="D31" s="122"/>
      <c r="E31" s="122"/>
      <c r="F31" s="122"/>
      <c r="G31" s="144"/>
      <c r="H31" s="122"/>
      <c r="I31" s="122"/>
      <c r="J31" s="122"/>
      <c r="K31" s="122"/>
      <c r="L31" s="123"/>
      <c r="M31" s="139"/>
    </row>
    <row r="32" spans="1:15" x14ac:dyDescent="0.2">
      <c r="B32" s="148" t="s">
        <v>188</v>
      </c>
      <c r="C32" s="149">
        <f>'Balance Sheet'!C18/'annual IS'!C15</f>
        <v>5.0717077891878981E-3</v>
      </c>
      <c r="D32" s="149">
        <f>'Balance Sheet'!H18/'annual IS'!D15</f>
        <v>8.2742977317109806E-2</v>
      </c>
      <c r="E32" s="149">
        <f>'Balance Sheet'!M18/'annual IS'!E15</f>
        <v>3.7583859950840022E-2</v>
      </c>
      <c r="F32" s="149">
        <f>'Balance Sheet'!R18/'annual IS'!F15</f>
        <v>3.1943228544899852E-2</v>
      </c>
      <c r="G32" s="170">
        <f>'Balance Sheet'!W18/'annual IS'!G15</f>
        <v>3.3989325822751854E-2</v>
      </c>
      <c r="H32" s="153">
        <f>AVERAGE(E32:G32)</f>
        <v>3.4505471439497247E-2</v>
      </c>
      <c r="I32" s="153">
        <f>H32</f>
        <v>3.4505471439497247E-2</v>
      </c>
      <c r="J32" s="153">
        <f t="shared" ref="J32:L32" si="11">I32</f>
        <v>3.4505471439497247E-2</v>
      </c>
      <c r="K32" s="153">
        <f t="shared" si="11"/>
        <v>3.4505471439497247E-2</v>
      </c>
      <c r="L32" s="158">
        <f t="shared" si="11"/>
        <v>3.4505471439497247E-2</v>
      </c>
      <c r="M32" s="139"/>
      <c r="O32" s="23"/>
    </row>
    <row r="33" spans="2:15" x14ac:dyDescent="0.2">
      <c r="B33" s="148"/>
      <c r="G33" s="120"/>
      <c r="L33" s="125"/>
      <c r="M33" s="139"/>
      <c r="O33" s="23"/>
    </row>
    <row r="34" spans="2:15" x14ac:dyDescent="0.2">
      <c r="B34" s="148" t="s">
        <v>189</v>
      </c>
      <c r="C34" s="149">
        <f>'Balance Sheet'!C19/'annual IS'!C25</f>
        <v>0.1328805202979125</v>
      </c>
      <c r="D34" s="149">
        <f>'Balance Sheet'!H19/'annual IS'!D25</f>
        <v>0.10522743914417873</v>
      </c>
      <c r="E34" s="149">
        <f>'Balance Sheet'!M19/'annual IS'!E25</f>
        <v>9.4920456098641887E-2</v>
      </c>
      <c r="F34" s="149">
        <f>'Balance Sheet'!R19/'annual IS'!F25</f>
        <v>9.8245725217749505E-2</v>
      </c>
      <c r="G34" s="170">
        <f>'Balance Sheet'!W19/'annual IS'!G25</f>
        <v>0.11274545676301988</v>
      </c>
      <c r="H34" s="153">
        <f>G34-$M$34</f>
        <v>0.10774545676301987</v>
      </c>
      <c r="I34" s="153">
        <f t="shared" ref="I34:L34" si="12">H34-$M$34</f>
        <v>0.10274545676301987</v>
      </c>
      <c r="J34" s="153">
        <f t="shared" si="12"/>
        <v>9.7745456763019864E-2</v>
      </c>
      <c r="K34" s="153">
        <f t="shared" si="12"/>
        <v>9.274545676301986E-2</v>
      </c>
      <c r="L34" s="158">
        <f t="shared" si="12"/>
        <v>8.7745456763019855E-2</v>
      </c>
      <c r="M34" s="139">
        <v>5.0000000000000001E-3</v>
      </c>
      <c r="N34" t="s">
        <v>162</v>
      </c>
      <c r="O34" s="23"/>
    </row>
    <row r="35" spans="2:15" x14ac:dyDescent="0.2">
      <c r="B35" s="148"/>
      <c r="C35" s="149"/>
      <c r="D35" s="149"/>
      <c r="E35" s="149"/>
      <c r="F35" s="149"/>
      <c r="G35" s="170"/>
      <c r="L35" s="125"/>
      <c r="M35" s="139"/>
      <c r="O35" s="23"/>
    </row>
    <row r="36" spans="2:15" x14ac:dyDescent="0.2">
      <c r="B36" s="148" t="s">
        <v>190</v>
      </c>
      <c r="C36" s="149">
        <f>'Balance Sheet'!C20/'annual IS'!C25</f>
        <v>0.19899297178223016</v>
      </c>
      <c r="D36" s="149">
        <f>'Balance Sheet'!H20/'annual IS'!D25</f>
        <v>0.12856294536817103</v>
      </c>
      <c r="E36" s="149">
        <f>'Balance Sheet'!M20/'annual IS'!E25</f>
        <v>9.0432780122515419E-2</v>
      </c>
      <c r="F36" s="149">
        <f>'Balance Sheet'!R20/'annual IS'!F25</f>
        <v>9.1175550265577165E-2</v>
      </c>
      <c r="G36" s="170">
        <f>'Balance Sheet'!W20/'annual IS'!G25</f>
        <v>0.1018514452982071</v>
      </c>
      <c r="H36" s="153">
        <f>AVERAGE(D36:G36)</f>
        <v>0.10300568026361769</v>
      </c>
      <c r="I36" s="153">
        <f>H36</f>
        <v>0.10300568026361769</v>
      </c>
      <c r="J36" s="153">
        <f t="shared" ref="J36:L36" si="13">I36</f>
        <v>0.10300568026361769</v>
      </c>
      <c r="K36" s="153">
        <f t="shared" si="13"/>
        <v>0.10300568026361769</v>
      </c>
      <c r="L36" s="158">
        <f t="shared" si="13"/>
        <v>0.10300568026361769</v>
      </c>
      <c r="M36" s="139"/>
      <c r="O36" s="23"/>
    </row>
    <row r="37" spans="2:15" x14ac:dyDescent="0.2">
      <c r="B37" s="148"/>
      <c r="C37" s="149"/>
      <c r="D37" s="149"/>
      <c r="E37" s="149"/>
      <c r="F37" s="149"/>
      <c r="G37" s="170"/>
      <c r="L37" s="125"/>
      <c r="M37" s="139"/>
      <c r="O37" s="23"/>
    </row>
    <row r="38" spans="2:15" ht="17" thickBot="1" x14ac:dyDescent="0.25">
      <c r="B38" s="150" t="s">
        <v>195</v>
      </c>
      <c r="C38" s="151">
        <f>'Balance Sheet'!C22/'annual IS'!C25</f>
        <v>3.6811601804258888E-2</v>
      </c>
      <c r="D38" s="151">
        <f>'Balance Sheet'!H22/'annual IS'!D25</f>
        <v>2.7170807065168862E-2</v>
      </c>
      <c r="E38" s="151">
        <f>'Balance Sheet'!M22/'annual IS'!E25</f>
        <v>2.1038440351393104E-2</v>
      </c>
      <c r="F38" s="151">
        <f>'Balance Sheet'!R22/'annual IS'!F25</f>
        <v>1.8624068697543066E-2</v>
      </c>
      <c r="G38" s="171">
        <f>'Balance Sheet'!W22/'annual IS'!G25</f>
        <v>1.6263772004716022E-2</v>
      </c>
      <c r="H38" s="154">
        <f>AVERAGE(C38:G38)</f>
        <v>2.3981737984615985E-2</v>
      </c>
      <c r="I38" s="154">
        <f>H38</f>
        <v>2.3981737984615985E-2</v>
      </c>
      <c r="J38" s="154">
        <f t="shared" ref="J38:L38" si="14">I38</f>
        <v>2.3981737984615985E-2</v>
      </c>
      <c r="K38" s="154">
        <f t="shared" si="14"/>
        <v>2.3981737984615985E-2</v>
      </c>
      <c r="L38" s="161">
        <f t="shared" si="14"/>
        <v>2.3981737984615985E-2</v>
      </c>
      <c r="M38" s="139"/>
      <c r="O38" s="23"/>
    </row>
    <row r="39" spans="2:15" ht="17" thickBot="1" x14ac:dyDescent="0.25">
      <c r="C39" s="117"/>
      <c r="D39" s="117"/>
      <c r="E39" s="117"/>
      <c r="F39" s="117"/>
      <c r="G39" s="170"/>
      <c r="M39" s="139"/>
      <c r="O39" s="23"/>
    </row>
    <row r="40" spans="2:15" x14ac:dyDescent="0.2">
      <c r="B40" s="147" t="s">
        <v>192</v>
      </c>
      <c r="C40" s="152"/>
      <c r="D40" s="152"/>
      <c r="E40" s="152"/>
      <c r="F40" s="152"/>
      <c r="G40" s="169"/>
      <c r="H40" s="122"/>
      <c r="I40" s="122"/>
      <c r="J40" s="122"/>
      <c r="K40" s="122"/>
      <c r="L40" s="123"/>
      <c r="M40" s="139"/>
      <c r="O40" s="23"/>
    </row>
    <row r="41" spans="2:15" x14ac:dyDescent="0.2">
      <c r="B41" s="148" t="s">
        <v>193</v>
      </c>
      <c r="C41" s="149">
        <f>'Balance Sheet'!C25/'annual IS'!C8</f>
        <v>1.2598893084504545</v>
      </c>
      <c r="D41" s="149">
        <f>'Balance Sheet'!H25/'annual IS'!D8</f>
        <v>1.2187822183685015</v>
      </c>
      <c r="E41" s="149">
        <f>'Balance Sheet'!M25/'annual IS'!E8</f>
        <v>1.0534843132795202</v>
      </c>
      <c r="F41" s="149">
        <f>'Balance Sheet'!R25/'annual IS'!F8</f>
        <v>0.87533351274076199</v>
      </c>
      <c r="G41" s="170">
        <f>'Balance Sheet'!W25/'annual IS'!G8</f>
        <v>0.88041664513483375</v>
      </c>
      <c r="H41" s="153">
        <f>G41-$M$41</f>
        <v>0.86041664513483374</v>
      </c>
      <c r="I41" s="153">
        <f t="shared" ref="I41:L41" si="15">H41-$M$41</f>
        <v>0.84041664513483372</v>
      </c>
      <c r="J41" s="153">
        <f t="shared" si="15"/>
        <v>0.8204166451348337</v>
      </c>
      <c r="K41" s="153">
        <f t="shared" si="15"/>
        <v>0.80041664513483368</v>
      </c>
      <c r="L41" s="158">
        <f t="shared" si="15"/>
        <v>0.78041664513483366</v>
      </c>
      <c r="M41" s="139">
        <v>0.02</v>
      </c>
      <c r="N41" t="s">
        <v>162</v>
      </c>
      <c r="O41" s="23"/>
    </row>
    <row r="42" spans="2:15" x14ac:dyDescent="0.2">
      <c r="B42" s="148"/>
      <c r="C42" s="149"/>
      <c r="D42" s="149"/>
      <c r="E42" s="149"/>
      <c r="F42" s="149"/>
      <c r="G42" s="170"/>
      <c r="L42" s="125"/>
      <c r="M42" s="139"/>
      <c r="O42" s="23"/>
    </row>
    <row r="43" spans="2:15" x14ac:dyDescent="0.2">
      <c r="B43" s="148" t="s">
        <v>196</v>
      </c>
      <c r="C43" s="149">
        <f>'Balance Sheet'!C26/'annual IS'!C25</f>
        <v>0.19465016259309767</v>
      </c>
      <c r="D43" s="149">
        <f>'Balance Sheet'!H26/'annual IS'!D25</f>
        <v>0.14562534602539604</v>
      </c>
      <c r="E43" s="149">
        <f>'Balance Sheet'!M26/'annual IS'!E25</f>
        <v>0.12215922034136988</v>
      </c>
      <c r="F43" s="149">
        <f>'Balance Sheet'!R26/'annual IS'!F25</f>
        <v>9.6578193758441636E-2</v>
      </c>
      <c r="G43" s="170">
        <f>'Balance Sheet'!W26/'annual IS'!G25</f>
        <v>6.8657153311379435E-2</v>
      </c>
      <c r="H43" s="153">
        <f>G43</f>
        <v>6.8657153311379435E-2</v>
      </c>
      <c r="I43" s="153">
        <f>H43-$M$43</f>
        <v>6.365715331137943E-2</v>
      </c>
      <c r="J43" s="153">
        <f t="shared" ref="J43:L43" si="16">I43-$M$43</f>
        <v>5.8657153311379433E-2</v>
      </c>
      <c r="K43" s="153">
        <f t="shared" si="16"/>
        <v>5.3657153311379435E-2</v>
      </c>
      <c r="L43" s="158">
        <f t="shared" si="16"/>
        <v>4.8657153311379438E-2</v>
      </c>
      <c r="M43" s="139">
        <v>5.0000000000000001E-3</v>
      </c>
      <c r="N43" t="s">
        <v>162</v>
      </c>
      <c r="O43" s="23"/>
    </row>
    <row r="44" spans="2:15" x14ac:dyDescent="0.2">
      <c r="B44" s="148"/>
      <c r="C44" s="149"/>
      <c r="D44" s="149"/>
      <c r="E44" s="149"/>
      <c r="F44" s="149"/>
      <c r="G44" s="170"/>
      <c r="L44" s="125"/>
      <c r="M44" s="139"/>
      <c r="O44" s="23"/>
    </row>
    <row r="45" spans="2:15" x14ac:dyDescent="0.2">
      <c r="B45" s="148" t="s">
        <v>194</v>
      </c>
      <c r="C45" s="149">
        <f>'Balance Sheet'!C27/'annual IS'!C8</f>
        <v>1.2007034093542538E-2</v>
      </c>
      <c r="D45" s="149">
        <f>'Balance Sheet'!H27/'annual IS'!D8</f>
        <v>1.8749438243831257E-2</v>
      </c>
      <c r="E45" s="149">
        <f>'Balance Sheet'!M27/'annual IS'!E8</f>
        <v>1.4746770517599112E-2</v>
      </c>
      <c r="F45" s="149">
        <f>'Balance Sheet'!R27/'annual IS'!F8</f>
        <v>1.9277961798222665E-2</v>
      </c>
      <c r="G45" s="170">
        <f>'Balance Sheet'!W27/'annual IS'!G8</f>
        <v>1.9138604437168999E-2</v>
      </c>
      <c r="H45" s="153">
        <f>AVERAGE(C45:G45)</f>
        <v>1.6783961818072915E-2</v>
      </c>
      <c r="I45" s="153">
        <f>H45</f>
        <v>1.6783961818072915E-2</v>
      </c>
      <c r="J45" s="153">
        <f t="shared" ref="J45:L45" si="17">I45</f>
        <v>1.6783961818072915E-2</v>
      </c>
      <c r="K45" s="153">
        <f t="shared" si="17"/>
        <v>1.6783961818072915E-2</v>
      </c>
      <c r="L45" s="158">
        <f t="shared" si="17"/>
        <v>1.6783961818072915E-2</v>
      </c>
      <c r="M45" s="139"/>
    </row>
    <row r="46" spans="2:15" x14ac:dyDescent="0.2">
      <c r="B46" s="148"/>
      <c r="G46" s="120"/>
      <c r="L46" s="125"/>
      <c r="M46" s="117"/>
    </row>
    <row r="47" spans="2:15" ht="17" thickBot="1" x14ac:dyDescent="0.25">
      <c r="B47" s="150" t="s">
        <v>197</v>
      </c>
      <c r="C47" s="151">
        <f>'Balance Sheet'!C28/'annual IS'!C8</f>
        <v>0.16321414452608476</v>
      </c>
      <c r="D47" s="151">
        <f>'Balance Sheet'!H28/'annual IS'!D8</f>
        <v>0.13197436805735466</v>
      </c>
      <c r="E47" s="151">
        <f>'Balance Sheet'!M28/'annual IS'!E8</f>
        <v>9.5927115583674116E-2</v>
      </c>
      <c r="F47" s="151">
        <f>'Balance Sheet'!R28/'annual IS'!F8</f>
        <v>6.8698372427812682E-2</v>
      </c>
      <c r="G47" s="171">
        <f>'Balance Sheet'!W28/'annual IS'!G8</f>
        <v>4.6537097820089447E-2</v>
      </c>
      <c r="H47" s="154">
        <f>G47-$M$47</f>
        <v>4.153709782008945E-2</v>
      </c>
      <c r="I47" s="154">
        <f t="shared" ref="I47:L47" si="18">H47-$M$47</f>
        <v>3.6537097820089452E-2</v>
      </c>
      <c r="J47" s="154">
        <f t="shared" si="18"/>
        <v>3.1537097820089455E-2</v>
      </c>
      <c r="K47" s="154">
        <f t="shared" si="18"/>
        <v>2.6537097820089454E-2</v>
      </c>
      <c r="L47" s="161">
        <f t="shared" si="18"/>
        <v>2.1537097820089453E-2</v>
      </c>
      <c r="M47" s="139">
        <v>5.0000000000000001E-3</v>
      </c>
      <c r="N47" t="s">
        <v>162</v>
      </c>
    </row>
    <row r="48" spans="2:15" x14ac:dyDescent="0.2">
      <c r="G48" s="120"/>
    </row>
    <row r="49" spans="1:12" ht="17" thickBot="1" x14ac:dyDescent="0.25">
      <c r="A49" s="115" t="s">
        <v>36</v>
      </c>
      <c r="B49" s="115" t="s">
        <v>198</v>
      </c>
      <c r="G49" s="120"/>
    </row>
    <row r="50" spans="1:12" x14ac:dyDescent="0.2">
      <c r="B50" s="121" t="s">
        <v>199</v>
      </c>
      <c r="C50" s="303">
        <v>818774</v>
      </c>
      <c r="D50" s="303">
        <f>C54</f>
        <v>1158370</v>
      </c>
      <c r="E50" s="303">
        <f t="shared" ref="E50:L50" si="19">D54</f>
        <v>1676510</v>
      </c>
      <c r="F50" s="303">
        <f t="shared" si="19"/>
        <v>1745720</v>
      </c>
      <c r="G50" s="304">
        <f t="shared" si="19"/>
        <v>1829380</v>
      </c>
      <c r="H50" s="174">
        <f t="shared" si="19"/>
        <v>1905630</v>
      </c>
      <c r="I50" s="174">
        <f t="shared" si="19"/>
        <v>2001626.4571561485</v>
      </c>
      <c r="J50" s="174">
        <f t="shared" si="19"/>
        <v>2105783.4267407134</v>
      </c>
      <c r="K50" s="174">
        <f t="shared" si="19"/>
        <v>2218288.7034468809</v>
      </c>
      <c r="L50" s="175">
        <f t="shared" si="19"/>
        <v>2336916.6524566957</v>
      </c>
    </row>
    <row r="51" spans="1:12" x14ac:dyDescent="0.2">
      <c r="B51" s="148" t="s">
        <v>206</v>
      </c>
      <c r="C51" s="193">
        <f>9956+286779</f>
        <v>296735</v>
      </c>
      <c r="D51" s="193">
        <f>8746+456640</f>
        <v>465386</v>
      </c>
      <c r="E51" s="193">
        <v>6594</v>
      </c>
      <c r="F51" s="193">
        <v>6518</v>
      </c>
      <c r="G51" s="298">
        <v>9009</v>
      </c>
      <c r="H51">
        <v>0</v>
      </c>
      <c r="I51">
        <f>H51</f>
        <v>0</v>
      </c>
      <c r="J51">
        <f t="shared" ref="J51:L51" si="20">I51</f>
        <v>0</v>
      </c>
      <c r="K51">
        <f t="shared" si="20"/>
        <v>0</v>
      </c>
      <c r="L51" s="125">
        <f t="shared" si="20"/>
        <v>0</v>
      </c>
    </row>
    <row r="52" spans="1:12" x14ac:dyDescent="0.2">
      <c r="B52" s="148" t="s">
        <v>200</v>
      </c>
      <c r="C52" s="193">
        <v>42863</v>
      </c>
      <c r="D52" s="193">
        <v>52750</v>
      </c>
      <c r="E52" s="193">
        <v>62614</v>
      </c>
      <c r="F52" s="193">
        <v>77151</v>
      </c>
      <c r="G52" s="298">
        <v>96425</v>
      </c>
      <c r="H52" s="173">
        <f>H56*'annual IS'!H8</f>
        <v>95996.457156148594</v>
      </c>
      <c r="I52" s="173">
        <f>I56*'annual IS'!I8</f>
        <v>104156.96958456509</v>
      </c>
      <c r="J52" s="173">
        <f>J56*'annual IS'!J8</f>
        <v>112505.27670616764</v>
      </c>
      <c r="K52" s="173">
        <f>K56*'annual IS'!K8</f>
        <v>118627.94900981478</v>
      </c>
      <c r="L52" s="176">
        <f>L56*'annual IS'!L8</f>
        <v>125251.80447250015</v>
      </c>
    </row>
    <row r="53" spans="1:12" x14ac:dyDescent="0.2">
      <c r="B53" s="148" t="s">
        <v>207</v>
      </c>
      <c r="C53" s="193">
        <v>0</v>
      </c>
      <c r="D53" s="193">
        <v>0</v>
      </c>
      <c r="E53" s="193">
        <v>0</v>
      </c>
      <c r="F53" s="193">
        <v>0</v>
      </c>
      <c r="G53" s="298">
        <v>29190</v>
      </c>
      <c r="H53">
        <v>0</v>
      </c>
      <c r="I53">
        <v>0</v>
      </c>
      <c r="J53">
        <v>0</v>
      </c>
      <c r="K53">
        <v>0</v>
      </c>
      <c r="L53" s="125">
        <v>0</v>
      </c>
    </row>
    <row r="54" spans="1:12" x14ac:dyDescent="0.2">
      <c r="B54" s="148" t="s">
        <v>201</v>
      </c>
      <c r="C54" s="193">
        <v>1158370</v>
      </c>
      <c r="D54" s="193">
        <v>1676510</v>
      </c>
      <c r="E54" s="193">
        <v>1745720</v>
      </c>
      <c r="F54" s="193">
        <v>1829380</v>
      </c>
      <c r="G54" s="298">
        <v>1905630</v>
      </c>
      <c r="H54" s="173">
        <f>H50+H52</f>
        <v>2001626.4571561485</v>
      </c>
      <c r="I54" s="173">
        <f t="shared" ref="I54:L54" si="21">I50+I52</f>
        <v>2105783.4267407134</v>
      </c>
      <c r="J54" s="173">
        <f t="shared" si="21"/>
        <v>2218288.7034468809</v>
      </c>
      <c r="K54" s="173">
        <f t="shared" si="21"/>
        <v>2336916.6524566957</v>
      </c>
      <c r="L54" s="176">
        <f t="shared" si="21"/>
        <v>2462168.4569291957</v>
      </c>
    </row>
    <row r="55" spans="1:12" x14ac:dyDescent="0.2">
      <c r="B55" s="148"/>
      <c r="G55" s="120"/>
      <c r="L55" s="125"/>
    </row>
    <row r="56" spans="1:12" ht="17" thickBot="1" x14ac:dyDescent="0.25">
      <c r="B56" s="150" t="s">
        <v>202</v>
      </c>
      <c r="C56" s="307">
        <f>C52/'annual IS'!C8</f>
        <v>5.8430688277873961E-2</v>
      </c>
      <c r="D56" s="307">
        <f>D52/'annual IS'!D8</f>
        <v>6.9723853885237844E-2</v>
      </c>
      <c r="E56" s="307">
        <f>E52/'annual IS'!E8</f>
        <v>7.2659292507786494E-2</v>
      </c>
      <c r="F56" s="307">
        <f>F52/'annual IS'!F8</f>
        <v>7.7182876528006067E-2</v>
      </c>
      <c r="G56" s="308">
        <f>G52/'annual IS'!G8</f>
        <v>8.0369302885376748E-2</v>
      </c>
      <c r="H56" s="154">
        <f>AVERAGE(C56:G56)</f>
        <v>7.1673202816856213E-2</v>
      </c>
      <c r="I56" s="154">
        <f>H56</f>
        <v>7.1673202816856213E-2</v>
      </c>
      <c r="J56" s="154">
        <f t="shared" ref="J56:L56" si="22">I56</f>
        <v>7.1673202816856213E-2</v>
      </c>
      <c r="K56" s="154">
        <f t="shared" si="22"/>
        <v>7.1673202816856213E-2</v>
      </c>
      <c r="L56" s="161">
        <f t="shared" si="22"/>
        <v>7.1673202816856213E-2</v>
      </c>
    </row>
    <row r="57" spans="1:12" ht="17" thickBot="1" x14ac:dyDescent="0.25">
      <c r="G57" s="120"/>
    </row>
    <row r="58" spans="1:12" x14ac:dyDescent="0.2">
      <c r="B58" s="121" t="s">
        <v>203</v>
      </c>
      <c r="C58" s="303">
        <v>211514</v>
      </c>
      <c r="D58" s="303">
        <f>C61</f>
        <v>220348</v>
      </c>
      <c r="E58" s="303">
        <f t="shared" ref="E58:L58" si="23">D61</f>
        <v>176059</v>
      </c>
      <c r="F58" s="303">
        <f t="shared" si="23"/>
        <v>149916</v>
      </c>
      <c r="G58" s="144">
        <f t="shared" si="23"/>
        <v>205628</v>
      </c>
      <c r="H58" s="122">
        <f t="shared" si="23"/>
        <v>209274</v>
      </c>
      <c r="I58" s="122">
        <f t="shared" si="23"/>
        <v>352943.76617502223</v>
      </c>
      <c r="J58" s="122">
        <f t="shared" si="23"/>
        <v>525248.29635015794</v>
      </c>
      <c r="K58" s="122">
        <f t="shared" si="23"/>
        <v>724137.51418797579</v>
      </c>
      <c r="L58" s="123">
        <f t="shared" si="23"/>
        <v>939045.05424613273</v>
      </c>
    </row>
    <row r="59" spans="1:12" x14ac:dyDescent="0.2">
      <c r="B59" s="148" t="s">
        <v>208</v>
      </c>
      <c r="C59" s="193">
        <v>0</v>
      </c>
      <c r="D59" s="193">
        <v>0</v>
      </c>
      <c r="E59" s="193">
        <v>0</v>
      </c>
      <c r="F59" s="193">
        <v>0</v>
      </c>
      <c r="G59" s="298">
        <v>93057</v>
      </c>
      <c r="H59">
        <v>0</v>
      </c>
      <c r="I59">
        <v>0</v>
      </c>
      <c r="J59">
        <v>0</v>
      </c>
      <c r="K59">
        <v>0</v>
      </c>
      <c r="L59" s="125">
        <v>0</v>
      </c>
    </row>
    <row r="60" spans="1:12" x14ac:dyDescent="0.2">
      <c r="B60" s="148" t="s">
        <v>204</v>
      </c>
      <c r="C60" s="193">
        <v>8834</v>
      </c>
      <c r="D60" s="193">
        <v>-44289</v>
      </c>
      <c r="E60" s="193">
        <v>-26143</v>
      </c>
      <c r="F60" s="193">
        <v>55712</v>
      </c>
      <c r="G60" s="298">
        <v>96703</v>
      </c>
      <c r="H60" s="119">
        <f>'annual IS'!H38</f>
        <v>143669.76617502223</v>
      </c>
      <c r="I60" s="119">
        <f>'annual IS'!I38</f>
        <v>172304.5301751357</v>
      </c>
      <c r="J60" s="119">
        <f>'annual IS'!J38</f>
        <v>198889.21783781779</v>
      </c>
      <c r="K60" s="119">
        <f>'annual IS'!K38</f>
        <v>214907.540058157</v>
      </c>
      <c r="L60" s="137">
        <f>'annual IS'!L38</f>
        <v>232893.35306391452</v>
      </c>
    </row>
    <row r="61" spans="1:12" ht="17" thickBot="1" x14ac:dyDescent="0.25">
      <c r="B61" s="150" t="s">
        <v>205</v>
      </c>
      <c r="C61" s="128">
        <v>220348</v>
      </c>
      <c r="D61" s="128">
        <f>D58+D60-D59</f>
        <v>176059</v>
      </c>
      <c r="E61" s="128">
        <f t="shared" ref="E61:L61" si="24">E58+E60-E59</f>
        <v>149916</v>
      </c>
      <c r="F61" s="128">
        <f t="shared" si="24"/>
        <v>205628</v>
      </c>
      <c r="G61" s="172">
        <f t="shared" si="24"/>
        <v>209274</v>
      </c>
      <c r="H61" s="128">
        <f t="shared" si="24"/>
        <v>352943.76617502223</v>
      </c>
      <c r="I61" s="128">
        <f t="shared" si="24"/>
        <v>525248.29635015794</v>
      </c>
      <c r="J61" s="128">
        <f t="shared" si="24"/>
        <v>724137.51418797579</v>
      </c>
      <c r="K61" s="128">
        <f t="shared" si="24"/>
        <v>939045.05424613273</v>
      </c>
      <c r="L61" s="130">
        <f t="shared" si="24"/>
        <v>1171938.4073100472</v>
      </c>
    </row>
  </sheetData>
  <mergeCells count="2">
    <mergeCell ref="C1:G1"/>
    <mergeCell ref="H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8526-ABBC-4592-BC2D-48E165520B02}">
  <dimension ref="A1:L39"/>
  <sheetViews>
    <sheetView showGridLines="0" topLeftCell="A11" workbookViewId="0">
      <selection activeCell="I21" sqref="I21"/>
    </sheetView>
  </sheetViews>
  <sheetFormatPr baseColWidth="10" defaultColWidth="8.83203125" defaultRowHeight="16" x14ac:dyDescent="0.2"/>
  <cols>
    <col min="1" max="1" width="1.6640625" bestFit="1" customWidth="1"/>
    <col min="2" max="2" width="38.6640625" bestFit="1" customWidth="1"/>
    <col min="3" max="7" width="9" bestFit="1" customWidth="1"/>
  </cols>
  <sheetData>
    <row r="1" spans="1:12" x14ac:dyDescent="0.2">
      <c r="A1" s="105"/>
      <c r="B1" s="112" t="s">
        <v>274</v>
      </c>
      <c r="C1" s="319" t="s">
        <v>1</v>
      </c>
      <c r="D1" s="319"/>
      <c r="E1" s="319"/>
      <c r="F1" s="319"/>
      <c r="G1" s="319"/>
    </row>
    <row r="2" spans="1:12" x14ac:dyDescent="0.2">
      <c r="B2" s="113"/>
      <c r="C2" s="107">
        <f>2024+1</f>
        <v>2025</v>
      </c>
      <c r="D2" s="107">
        <f t="shared" ref="D2:F2" si="0">C2+1</f>
        <v>2026</v>
      </c>
      <c r="E2" s="107">
        <f t="shared" si="0"/>
        <v>2027</v>
      </c>
      <c r="F2" s="107">
        <f t="shared" si="0"/>
        <v>2028</v>
      </c>
      <c r="G2" s="107">
        <f t="shared" ref="G2" si="1">F2+1</f>
        <v>2029</v>
      </c>
    </row>
    <row r="3" spans="1:12" x14ac:dyDescent="0.2">
      <c r="A3" s="19" t="s">
        <v>36</v>
      </c>
      <c r="B3" s="115" t="s">
        <v>213</v>
      </c>
    </row>
    <row r="4" spans="1:12" x14ac:dyDescent="0.2">
      <c r="B4" t="s">
        <v>214</v>
      </c>
      <c r="C4" s="309">
        <f>'annual IS'!H38</f>
        <v>143669.76617502223</v>
      </c>
      <c r="D4" s="309">
        <f>'annual IS'!I38</f>
        <v>172304.5301751357</v>
      </c>
      <c r="E4" s="309">
        <f>'annual IS'!J38</f>
        <v>198889.21783781779</v>
      </c>
      <c r="F4" s="309">
        <f>'annual IS'!K38</f>
        <v>214907.540058157</v>
      </c>
      <c r="G4" s="309">
        <f>'annual IS'!L38</f>
        <v>232893.35306391452</v>
      </c>
    </row>
    <row r="5" spans="1:12" x14ac:dyDescent="0.2">
      <c r="B5" t="s">
        <v>215</v>
      </c>
      <c r="C5" s="310">
        <f>'Balance Sheet Build'!H16+'Balance Sheet Build'!H24</f>
        <v>150974.51144786971</v>
      </c>
      <c r="D5" s="310">
        <f>'Balance Sheet Build'!I16+'Balance Sheet Build'!I24</f>
        <v>133719.03837979599</v>
      </c>
      <c r="E5" s="310">
        <f>'Balance Sheet Build'!J16+'Balance Sheet Build'!J24</f>
        <v>115307.76190617114</v>
      </c>
      <c r="F5" s="310">
        <f>'Balance Sheet Build'!K16+'Balance Sheet Build'!K24</f>
        <v>101190.58685191986</v>
      </c>
      <c r="G5" s="310">
        <f>'Balance Sheet Build'!L16+'Balance Sheet Build'!L24</f>
        <v>99461.315488550375</v>
      </c>
    </row>
    <row r="6" spans="1:12" x14ac:dyDescent="0.2">
      <c r="B6" t="s">
        <v>200</v>
      </c>
      <c r="C6" s="310">
        <f>'Balance Sheet Build'!H52</f>
        <v>95996.457156148594</v>
      </c>
      <c r="D6" s="310">
        <f>'Balance Sheet Build'!I52</f>
        <v>104156.96958456509</v>
      </c>
      <c r="E6" s="310">
        <f>'Balance Sheet Build'!J52</f>
        <v>112505.27670616764</v>
      </c>
      <c r="F6" s="310">
        <f>'Balance Sheet Build'!K52</f>
        <v>118627.94900981478</v>
      </c>
      <c r="G6" s="310">
        <f>'Balance Sheet Build'!L52</f>
        <v>125251.80447250015</v>
      </c>
    </row>
    <row r="7" spans="1:12" x14ac:dyDescent="0.2">
      <c r="C7" s="142"/>
      <c r="D7" s="142"/>
      <c r="E7" s="142"/>
      <c r="F7" s="142"/>
      <c r="G7" s="142"/>
    </row>
    <row r="8" spans="1:12" x14ac:dyDescent="0.2">
      <c r="A8" t="s">
        <v>36</v>
      </c>
      <c r="B8" s="181" t="s">
        <v>216</v>
      </c>
      <c r="C8" s="182"/>
      <c r="D8" s="142"/>
      <c r="E8" s="142"/>
      <c r="F8" s="142"/>
      <c r="G8" s="142"/>
    </row>
    <row r="9" spans="1:12" x14ac:dyDescent="0.2">
      <c r="B9" s="23" t="s">
        <v>110</v>
      </c>
      <c r="C9" s="310">
        <f>'Balance Sheet'!W6-'Balance Sheet'!AA6</f>
        <v>-24078.978783043713</v>
      </c>
      <c r="D9" s="310">
        <f>'Balance Sheet'!AA6-'Balance Sheet'!AB6</f>
        <v>-12078.427367004741</v>
      </c>
      <c r="E9" s="310">
        <f>'Balance Sheet'!AB6-'Balance Sheet'!AC6</f>
        <v>-12356.383510256012</v>
      </c>
      <c r="F9" s="310">
        <f>'Balance Sheet'!AC6-'Balance Sheet'!AD6</f>
        <v>-9062.2069827450323</v>
      </c>
      <c r="G9" s="310">
        <f>'Balance Sheet'!AD6-'Balance Sheet'!AE6</f>
        <v>-9804.0114266583114</v>
      </c>
    </row>
    <row r="10" spans="1:12" x14ac:dyDescent="0.2">
      <c r="B10" s="23" t="s">
        <v>148</v>
      </c>
      <c r="C10" s="310">
        <f>'Balance Sheet'!W7-'Balance Sheet'!AA7</f>
        <v>1894.5237559017696</v>
      </c>
      <c r="D10" s="310">
        <f>'Balance Sheet'!AA7-'Balance Sheet'!AB7</f>
        <v>-5262.0650873937993</v>
      </c>
      <c r="E10" s="310">
        <f>'Balance Sheet'!AB7-'Balance Sheet'!AC7</f>
        <v>-5383.1589411536406</v>
      </c>
      <c r="F10" s="310">
        <f>'Balance Sheet'!AC7-'Balance Sheet'!AD7</f>
        <v>-3948.0241532854707</v>
      </c>
      <c r="G10" s="310">
        <f>'Balance Sheet'!AD7-'Balance Sheet'!AE7</f>
        <v>-4271.1972905974399</v>
      </c>
    </row>
    <row r="11" spans="1:12" x14ac:dyDescent="0.2">
      <c r="B11" s="23" t="s">
        <v>85</v>
      </c>
      <c r="C11" s="310">
        <f>'Balance Sheet'!W10-'Balance Sheet'!AA10</f>
        <v>-1676.0078131822302</v>
      </c>
      <c r="D11" s="310">
        <f>'Balance Sheet'!AA10-'Balance Sheet'!AB10</f>
        <v>-180.51454320808989</v>
      </c>
      <c r="E11" s="310">
        <f>'Balance Sheet'!AB10-'Balance Sheet'!AC10</f>
        <v>314.11226822178287</v>
      </c>
      <c r="F11" s="310">
        <f>'Balance Sheet'!AC10-'Balance Sheet'!AD10</f>
        <v>1703.6875059871818</v>
      </c>
      <c r="G11" s="310">
        <f>'Balance Sheet'!AD10-'Balance Sheet'!AE10</f>
        <v>1966.5252730764259</v>
      </c>
    </row>
    <row r="12" spans="1:12" x14ac:dyDescent="0.2">
      <c r="B12" s="23" t="s">
        <v>88</v>
      </c>
      <c r="C12" s="310">
        <f>'Balance Sheet'!W13-'Balance Sheet'!AA13</f>
        <v>-22181.430716569579</v>
      </c>
      <c r="D12" s="310">
        <f>'Balance Sheet'!AA13-'Balance Sheet'!AB13</f>
        <v>-9423.2267155623704</v>
      </c>
      <c r="E12" s="310">
        <f>'Balance Sheet'!AB13-'Balance Sheet'!AC13</f>
        <v>-9839.5921295998123</v>
      </c>
      <c r="F12" s="310">
        <f>'Balance Sheet'!AC13-'Balance Sheet'!AD13</f>
        <v>-7805.7116590977093</v>
      </c>
      <c r="G12" s="310">
        <f>'Balance Sheet'!AD13-'Balance Sheet'!AE13</f>
        <v>-8494.0149082518037</v>
      </c>
    </row>
    <row r="13" spans="1:12" x14ac:dyDescent="0.2">
      <c r="B13" s="23" t="s">
        <v>92</v>
      </c>
      <c r="C13" s="310">
        <f>'Balance Sheet'!AA18-'Balance Sheet'!W18</f>
        <v>595.66155193575287</v>
      </c>
      <c r="D13" s="310">
        <f>'Balance Sheet'!AB18-'Balance Sheet'!AA18</f>
        <v>684.78387869540893</v>
      </c>
      <c r="E13" s="310">
        <f>'Balance Sheet'!AC18-'Balance Sheet'!AB18</f>
        <v>728.02965809288798</v>
      </c>
      <c r="F13" s="310">
        <f>'Balance Sheet'!AD18-'Balance Sheet'!AC18</f>
        <v>682.79712964387909</v>
      </c>
      <c r="G13" s="310">
        <f>'Balance Sheet'!AE18-'Balance Sheet'!AD18</f>
        <v>736.51085454535132</v>
      </c>
      <c r="L13" s="188"/>
    </row>
    <row r="14" spans="1:12" x14ac:dyDescent="0.2">
      <c r="B14" s="23" t="s">
        <v>93</v>
      </c>
      <c r="C14" s="310">
        <f>'Balance Sheet'!AA19-'Balance Sheet'!W19</f>
        <v>2298.3650371666008</v>
      </c>
      <c r="D14" s="310">
        <f>'Balance Sheet'!AB19-'Balance Sheet'!AA19</f>
        <v>1957.4215779919177</v>
      </c>
      <c r="E14" s="310">
        <f>'Balance Sheet'!AC19-'Balance Sheet'!AB19</f>
        <v>2029.9951217447815</v>
      </c>
      <c r="F14" s="310">
        <f>'Balance Sheet'!AD19-'Balance Sheet'!AC19</f>
        <v>36.606056772987358</v>
      </c>
      <c r="G14" s="310">
        <f>'Balance Sheet'!AE19-'Balance Sheet'!AD19</f>
        <v>-82.008106667824904</v>
      </c>
      <c r="L14" s="188"/>
    </row>
    <row r="15" spans="1:12" x14ac:dyDescent="0.2">
      <c r="B15" s="23" t="s">
        <v>94</v>
      </c>
      <c r="C15" s="310">
        <f>'Balance Sheet'!AA20-'Balance Sheet'!W20</f>
        <v>5846.3974558561458</v>
      </c>
      <c r="D15" s="310">
        <f>'Balance Sheet'!AB20-'Balance Sheet'!AA20</f>
        <v>5294.7599399725732</v>
      </c>
      <c r="E15" s="310">
        <f>'Balance Sheet'!AC20-'Balance Sheet'!AB20</f>
        <v>5912.9276650426473</v>
      </c>
      <c r="F15" s="310">
        <f>'Balance Sheet'!AD20-'Balance Sheet'!AC20</f>
        <v>4336.5580495409667</v>
      </c>
      <c r="G15" s="310">
        <f>'Balance Sheet'!AE20-'Balance Sheet'!AD20</f>
        <v>4691.5353788562788</v>
      </c>
      <c r="L15" s="188"/>
    </row>
    <row r="16" spans="1:12" x14ac:dyDescent="0.2">
      <c r="B16" s="23" t="s">
        <v>96</v>
      </c>
      <c r="C16" s="310">
        <f>'Balance Sheet'!AA22-'Balance Sheet'!W22</f>
        <v>5941.8780961586453</v>
      </c>
      <c r="D16" s="310">
        <f>'Balance Sheet'!AB22-'Balance Sheet'!AA22</f>
        <v>1232.7237220985844</v>
      </c>
      <c r="E16" s="310">
        <f>'Balance Sheet'!AC22-'Balance Sheet'!AB22</f>
        <v>1376.6452648255108</v>
      </c>
      <c r="F16" s="310">
        <f>'Balance Sheet'!AD22-'Balance Sheet'!AC22</f>
        <v>1009.6355718734267</v>
      </c>
      <c r="G16" s="310">
        <f>'Balance Sheet'!AE22-'Balance Sheet'!AD22</f>
        <v>1092.2812403485186</v>
      </c>
      <c r="L16" s="188"/>
    </row>
    <row r="17" spans="1:12" x14ac:dyDescent="0.2">
      <c r="B17" s="23" t="s">
        <v>100</v>
      </c>
      <c r="C17" s="310">
        <f>'Balance Sheet'!AA26-'Balance Sheet'!W26+2</f>
        <v>3425.7564330310852</v>
      </c>
      <c r="D17" s="310">
        <f>'Balance Sheet'!AB26-'Balance Sheet'!AA26+-211.46912-2</f>
        <v>-265.28802959640439</v>
      </c>
      <c r="E17" s="310">
        <f>'Balance Sheet'!AC26-'Balance Sheet'!AB26</f>
        <v>-213.8259012053677</v>
      </c>
      <c r="F17" s="310">
        <f>'Balance Sheet'!AD26-'Balance Sheet'!AC26</f>
        <v>-1609.0186946222238</v>
      </c>
      <c r="G17" s="310">
        <f>'Balance Sheet'!AE26-'Balance Sheet'!AD26</f>
        <v>-1862.3386483769209</v>
      </c>
      <c r="L17" s="11"/>
    </row>
    <row r="18" spans="1:12" x14ac:dyDescent="0.2">
      <c r="B18" s="23" t="s">
        <v>101</v>
      </c>
      <c r="C18" s="310">
        <f>'Balance Sheet'!AA27-'Balance Sheet'!W27</f>
        <v>-482.17758023022543</v>
      </c>
      <c r="D18" s="310">
        <f>'Balance Sheet'!AB27-'Balance Sheet'!AA27</f>
        <v>1910.9754222151241</v>
      </c>
      <c r="E18" s="310">
        <f>'Balance Sheet'!AC27-'Balance Sheet'!AB27</f>
        <v>1954.9519550920668</v>
      </c>
      <c r="F18" s="310">
        <f>'Balance Sheet'!AD27-'Balance Sheet'!AC27</f>
        <v>1433.7673513987065</v>
      </c>
      <c r="G18" s="310">
        <f>'Balance Sheet'!AE27-'Balance Sheet'!AD27</f>
        <v>1551.131145321142</v>
      </c>
    </row>
    <row r="19" spans="1:12" x14ac:dyDescent="0.2">
      <c r="B19" s="23" t="s">
        <v>102</v>
      </c>
      <c r="C19" s="310">
        <f>'Balance Sheet'!AA28-'Balance Sheet'!W28</f>
        <v>-200.73575944615004</v>
      </c>
      <c r="D19" s="310">
        <f>'Balance Sheet'!AB28-'Balance Sheet'!X28</f>
        <v>-4061.5394430520537</v>
      </c>
      <c r="E19" s="310">
        <f>'Balance Sheet'!AC28-'Balance Sheet'!Y28</f>
        <v>-37111.283446060886</v>
      </c>
      <c r="F19" s="310">
        <f>'Balance Sheet'!AD28-'Balance Sheet'!Z28</f>
        <v>-57650.84550783773</v>
      </c>
      <c r="G19" s="310">
        <f>'Balance Sheet'!AE28-'Balance Sheet'!AA28</f>
        <v>-17996.31962179688</v>
      </c>
    </row>
    <row r="20" spans="1:12" x14ac:dyDescent="0.2">
      <c r="B20" s="23"/>
      <c r="C20" s="142"/>
      <c r="D20" s="142"/>
      <c r="E20" s="142"/>
      <c r="F20" s="142"/>
      <c r="G20" s="142"/>
    </row>
    <row r="21" spans="1:12" x14ac:dyDescent="0.2">
      <c r="A21" t="s">
        <v>36</v>
      </c>
      <c r="B21" s="181" t="s">
        <v>217</v>
      </c>
      <c r="C21" s="142">
        <f>SUM(C9:C19,C4:C6)</f>
        <v>362023.98645661864</v>
      </c>
      <c r="D21" s="142">
        <f t="shared" ref="D21:G21" si="2">SUM(D9:D19,D4:D6)</f>
        <v>389990.1414946529</v>
      </c>
      <c r="E21" s="142">
        <f t="shared" si="2"/>
        <v>374114.67445490055</v>
      </c>
      <c r="F21" s="142">
        <f t="shared" si="2"/>
        <v>363853.3205875206</v>
      </c>
      <c r="G21" s="142">
        <f t="shared" si="2"/>
        <v>425134.56691476359</v>
      </c>
    </row>
    <row r="22" spans="1:12" x14ac:dyDescent="0.2">
      <c r="C22" s="142"/>
      <c r="D22" s="142"/>
      <c r="E22" s="142"/>
      <c r="F22" s="142"/>
      <c r="G22" s="142"/>
    </row>
    <row r="23" spans="1:12" x14ac:dyDescent="0.2">
      <c r="A23" t="s">
        <v>36</v>
      </c>
      <c r="B23" s="181" t="s">
        <v>218</v>
      </c>
      <c r="C23" s="142"/>
      <c r="D23" s="142"/>
      <c r="E23" s="142"/>
      <c r="F23" s="142"/>
      <c r="G23" s="142"/>
    </row>
    <row r="24" spans="1:12" x14ac:dyDescent="0.2">
      <c r="B24" t="s">
        <v>219</v>
      </c>
      <c r="C24" s="310">
        <f>'Balance Sheet'!W9-'Balance Sheet'!AA9</f>
        <v>1804.2048821990384</v>
      </c>
      <c r="D24" s="310">
        <f>'Balance Sheet'!X9-'Balance Sheet'!AB9</f>
        <v>2605.8670746147127</v>
      </c>
      <c r="E24" s="310">
        <f>'Balance Sheet'!Y9-'Balance Sheet'!AC9</f>
        <v>2280.8000085179988</v>
      </c>
      <c r="F24" s="310">
        <f>'Balance Sheet'!Z9-'Balance Sheet'!AD9</f>
        <v>1088.3261369700053</v>
      </c>
      <c r="G24" s="310">
        <f>'Balance Sheet'!AA9-'Balance Sheet'!AE9</f>
        <v>-3755.4550538496787</v>
      </c>
    </row>
    <row r="25" spans="1:12" x14ac:dyDescent="0.2">
      <c r="B25" t="s">
        <v>86</v>
      </c>
      <c r="C25" s="310">
        <f>'Balance Sheet'!W11-'Balance Sheet'!AA11</f>
        <v>146509</v>
      </c>
      <c r="D25" s="310">
        <f>'Balance Sheet'!AA11-'Balance Sheet'!AB11</f>
        <v>129600.53087724652</v>
      </c>
      <c r="E25" s="310">
        <f>'Balance Sheet'!AB11-'Balance Sheet'!AC11+30997.67</f>
        <v>142641.66999999998</v>
      </c>
      <c r="F25" s="310">
        <f>'Balance Sheet'!AC11-'Balance Sheet'!AD11+49486</f>
        <v>147641</v>
      </c>
      <c r="G25" s="310">
        <f>'Balance Sheet'!AD11-'Balance Sheet'!AE11+12578</f>
        <v>109708</v>
      </c>
    </row>
    <row r="26" spans="1:12" x14ac:dyDescent="0.2">
      <c r="C26" s="142"/>
      <c r="D26" s="142"/>
      <c r="E26" s="142"/>
      <c r="F26" s="142"/>
      <c r="G26" s="142"/>
    </row>
    <row r="27" spans="1:12" x14ac:dyDescent="0.2">
      <c r="A27" t="s">
        <v>36</v>
      </c>
      <c r="B27" s="181" t="s">
        <v>220</v>
      </c>
      <c r="C27" s="142">
        <f>SUM(C24:C25)-C5</f>
        <v>-2661.3065656706749</v>
      </c>
      <c r="D27" s="142">
        <f t="shared" ref="D27:G27" si="3">SUM(D24:D25)-D5</f>
        <v>-1512.6404279347626</v>
      </c>
      <c r="E27" s="142">
        <f t="shared" si="3"/>
        <v>29614.708102346849</v>
      </c>
      <c r="F27" s="142">
        <f t="shared" si="3"/>
        <v>47538.739285050164</v>
      </c>
      <c r="G27" s="142">
        <f t="shared" si="3"/>
        <v>6491.2294575999404</v>
      </c>
    </row>
    <row r="28" spans="1:12" x14ac:dyDescent="0.2">
      <c r="C28" s="142"/>
      <c r="D28" s="142"/>
      <c r="E28" s="142"/>
      <c r="F28" s="142"/>
      <c r="G28" s="142"/>
    </row>
    <row r="29" spans="1:12" x14ac:dyDescent="0.2">
      <c r="A29" t="s">
        <v>36</v>
      </c>
      <c r="B29" s="181" t="s">
        <v>221</v>
      </c>
      <c r="C29" s="142"/>
      <c r="D29" s="142"/>
      <c r="E29" s="142"/>
      <c r="F29" s="142"/>
      <c r="G29" s="142"/>
    </row>
    <row r="30" spans="1:12" x14ac:dyDescent="0.2">
      <c r="B30" s="23" t="s">
        <v>95</v>
      </c>
      <c r="C30" s="310">
        <f>'Balance Sheet'!AA21-'Balance Sheet'!W21</f>
        <v>0</v>
      </c>
      <c r="D30" s="310">
        <v>0</v>
      </c>
      <c r="E30" s="310">
        <v>0</v>
      </c>
      <c r="F30" s="310">
        <v>0</v>
      </c>
      <c r="G30" s="310">
        <f>'Balance Sheet'!AE21-'Balance Sheet'!AA21</f>
        <v>0</v>
      </c>
    </row>
    <row r="31" spans="1:12" x14ac:dyDescent="0.2">
      <c r="B31" t="s">
        <v>222</v>
      </c>
      <c r="C31" s="310">
        <f>'Balance Sheet'!AA25-'Balance Sheet'!W25</f>
        <v>96109.473718887661</v>
      </c>
      <c r="D31" s="310">
        <f>'Balance Sheet'!AB25-'Balance Sheet'!AA25</f>
        <v>68900.246402641991</v>
      </c>
      <c r="E31" s="310">
        <f>'Balance Sheet'!AC25-'Balance Sheet'!AB25</f>
        <v>66495.573551350273</v>
      </c>
      <c r="F31" s="310">
        <f>'Balance Sheet'!AD25-'Balance Sheet'!AC25</f>
        <v>36981.510330922203</v>
      </c>
      <c r="G31" s="310">
        <f>'Balance Sheet'!AE25-'Balance Sheet'!AD25</f>
        <v>39021.670135172084</v>
      </c>
    </row>
    <row r="32" spans="1:12" x14ac:dyDescent="0.2">
      <c r="C32" s="142"/>
      <c r="D32" s="142"/>
      <c r="E32" s="142"/>
      <c r="F32" s="142"/>
      <c r="G32" s="142"/>
    </row>
    <row r="33" spans="1:7" x14ac:dyDescent="0.2">
      <c r="A33" t="s">
        <v>36</v>
      </c>
      <c r="B33" s="181" t="s">
        <v>223</v>
      </c>
      <c r="C33" s="142">
        <f>SUM(C30:C31)</f>
        <v>96109.473718887661</v>
      </c>
      <c r="D33" s="142">
        <f t="shared" ref="D33:G33" si="4">SUM(D30:D31)</f>
        <v>68900.246402641991</v>
      </c>
      <c r="E33" s="142">
        <f t="shared" si="4"/>
        <v>66495.573551350273</v>
      </c>
      <c r="F33" s="142">
        <f t="shared" si="4"/>
        <v>36981.510330922203</v>
      </c>
      <c r="G33" s="142">
        <f t="shared" si="4"/>
        <v>39021.670135172084</v>
      </c>
    </row>
    <row r="34" spans="1:7" x14ac:dyDescent="0.2">
      <c r="C34" s="142"/>
      <c r="D34" s="142"/>
      <c r="E34" s="142"/>
      <c r="F34" s="142"/>
      <c r="G34" s="142"/>
    </row>
    <row r="35" spans="1:7" x14ac:dyDescent="0.2">
      <c r="A35" t="s">
        <v>36</v>
      </c>
      <c r="B35" s="181" t="s">
        <v>224</v>
      </c>
      <c r="C35" s="142">
        <f>C33+C27+C21</f>
        <v>455472.15360983566</v>
      </c>
      <c r="D35" s="142">
        <f t="shared" ref="D35:G35" si="5">D33+D27+D21</f>
        <v>457377.74746936013</v>
      </c>
      <c r="E35" s="142">
        <f t="shared" si="5"/>
        <v>470224.95610859769</v>
      </c>
      <c r="F35" s="142">
        <f t="shared" si="5"/>
        <v>448373.570203493</v>
      </c>
      <c r="G35" s="142">
        <f t="shared" si="5"/>
        <v>470647.4665075356</v>
      </c>
    </row>
    <row r="36" spans="1:7" x14ac:dyDescent="0.2">
      <c r="C36" s="142"/>
      <c r="D36" s="142"/>
      <c r="E36" s="142"/>
      <c r="F36" s="142"/>
      <c r="G36" s="142"/>
    </row>
    <row r="37" spans="1:7" x14ac:dyDescent="0.2">
      <c r="C37" s="142"/>
      <c r="D37" s="142"/>
      <c r="E37" s="142"/>
      <c r="F37" s="142"/>
      <c r="G37" s="142"/>
    </row>
    <row r="38" spans="1:7" x14ac:dyDescent="0.2">
      <c r="C38" s="142"/>
      <c r="D38" s="142"/>
      <c r="E38" s="142"/>
      <c r="F38" s="142"/>
      <c r="G38" s="142"/>
    </row>
    <row r="39" spans="1:7" x14ac:dyDescent="0.2">
      <c r="C39" s="142"/>
      <c r="D39" s="142"/>
      <c r="E39" s="142"/>
      <c r="F39" s="142"/>
      <c r="G39" s="142"/>
    </row>
  </sheetData>
  <mergeCells count="1">
    <mergeCell ref="C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9453-B0DB-F44F-B587-CB52142051F6}">
  <dimension ref="A2:I39"/>
  <sheetViews>
    <sheetView showGridLines="0" workbookViewId="0">
      <selection activeCell="M24" sqref="M24"/>
    </sheetView>
  </sheetViews>
  <sheetFormatPr baseColWidth="10" defaultRowHeight="16" x14ac:dyDescent="0.2"/>
  <cols>
    <col min="1" max="1" width="2" bestFit="1" customWidth="1"/>
    <col min="2" max="2" width="14.33203125" bestFit="1" customWidth="1"/>
    <col min="3" max="4" width="11.83203125" bestFit="1" customWidth="1"/>
    <col min="5" max="5" width="11.6640625" bestFit="1" customWidth="1"/>
    <col min="6" max="6" width="11.83203125" bestFit="1" customWidth="1"/>
    <col min="7" max="7" width="11.6640625" bestFit="1" customWidth="1"/>
    <col min="8" max="8" width="12.33203125" bestFit="1" customWidth="1"/>
  </cols>
  <sheetData>
    <row r="2" spans="1:9" x14ac:dyDescent="0.2">
      <c r="A2" t="s">
        <v>36</v>
      </c>
      <c r="B2" s="207" t="s">
        <v>225</v>
      </c>
      <c r="C2" s="208">
        <v>2024</v>
      </c>
      <c r="D2" s="209">
        <f>C2+1</f>
        <v>2025</v>
      </c>
      <c r="E2" s="209">
        <f t="shared" ref="E2:H2" si="0">D2+1</f>
        <v>2026</v>
      </c>
      <c r="F2" s="209">
        <f t="shared" si="0"/>
        <v>2027</v>
      </c>
      <c r="G2" s="209">
        <f t="shared" si="0"/>
        <v>2028</v>
      </c>
      <c r="H2" s="209">
        <f t="shared" si="0"/>
        <v>2029</v>
      </c>
    </row>
    <row r="3" spans="1:9" x14ac:dyDescent="0.2">
      <c r="B3" t="s">
        <v>214</v>
      </c>
      <c r="C3" s="189">
        <f>'annual IS'!G38</f>
        <v>96703</v>
      </c>
      <c r="D3" s="189">
        <f>'annual IS'!H38</f>
        <v>143669.76617502223</v>
      </c>
      <c r="E3" s="189">
        <f>'annual IS'!I38</f>
        <v>172304.5301751357</v>
      </c>
      <c r="F3" s="189">
        <f>'annual IS'!J38</f>
        <v>198889.21783781779</v>
      </c>
      <c r="G3" s="189">
        <f>'annual IS'!K38</f>
        <v>214907.540058157</v>
      </c>
      <c r="H3" s="189">
        <f>'annual IS'!L38</f>
        <v>232893.35306391452</v>
      </c>
    </row>
    <row r="4" spans="1:9" x14ac:dyDescent="0.2">
      <c r="B4" t="s">
        <v>226</v>
      </c>
      <c r="C4" s="190">
        <f>'annual IS'!G47</f>
        <v>88828</v>
      </c>
      <c r="D4" s="190">
        <f>'annual IS'!H47</f>
        <v>88828</v>
      </c>
      <c r="E4" s="190">
        <f>'annual IS'!I47</f>
        <v>88828</v>
      </c>
      <c r="F4" s="190">
        <f>'annual IS'!J47</f>
        <v>88828</v>
      </c>
      <c r="G4" s="190">
        <f>'annual IS'!K47</f>
        <v>88828</v>
      </c>
      <c r="H4" s="190">
        <f>'annual IS'!L47</f>
        <v>88828</v>
      </c>
    </row>
    <row r="5" spans="1:9" x14ac:dyDescent="0.2">
      <c r="B5" t="s">
        <v>227</v>
      </c>
      <c r="C5" s="191">
        <f>(C3/C4)</f>
        <v>1.0886544783176475</v>
      </c>
      <c r="D5" s="191">
        <f t="shared" ref="D5:H5" si="1">(D3/D4)</f>
        <v>1.6173927835257151</v>
      </c>
      <c r="E5" s="191">
        <f t="shared" si="1"/>
        <v>1.9397546964373362</v>
      </c>
      <c r="F5" s="191">
        <f t="shared" si="1"/>
        <v>2.2390374413227563</v>
      </c>
      <c r="G5" s="191">
        <f t="shared" si="1"/>
        <v>2.4193670921123633</v>
      </c>
      <c r="H5" s="191">
        <f t="shared" si="1"/>
        <v>2.6218461866068639</v>
      </c>
    </row>
    <row r="7" spans="1:9" x14ac:dyDescent="0.2">
      <c r="B7" t="s">
        <v>228</v>
      </c>
      <c r="C7" s="192">
        <v>96.79</v>
      </c>
    </row>
    <row r="8" spans="1:9" x14ac:dyDescent="0.2">
      <c r="B8" t="s">
        <v>229</v>
      </c>
      <c r="C8" s="193">
        <v>44.4</v>
      </c>
    </row>
    <row r="9" spans="1:9" x14ac:dyDescent="0.2">
      <c r="B9" t="s">
        <v>259</v>
      </c>
      <c r="C9" s="193">
        <v>35</v>
      </c>
    </row>
    <row r="11" spans="1:9" x14ac:dyDescent="0.2">
      <c r="B11" t="s">
        <v>230</v>
      </c>
      <c r="D11" s="194">
        <f>$C$9*D5</f>
        <v>56.608747423400033</v>
      </c>
      <c r="E11" s="194">
        <f t="shared" ref="E11:H11" si="2">$C$9*E5</f>
        <v>67.891414375306766</v>
      </c>
      <c r="F11" s="194">
        <f t="shared" si="2"/>
        <v>78.366310446296467</v>
      </c>
      <c r="G11" s="194">
        <f t="shared" si="2"/>
        <v>84.677848223932713</v>
      </c>
      <c r="H11" s="194">
        <f t="shared" si="2"/>
        <v>91.764616531240236</v>
      </c>
    </row>
    <row r="13" spans="1:9" x14ac:dyDescent="0.2">
      <c r="B13" s="195"/>
      <c r="C13" s="196">
        <v>2024</v>
      </c>
      <c r="D13" s="197">
        <f>C13+1</f>
        <v>2025</v>
      </c>
      <c r="E13" s="197">
        <f t="shared" ref="E13:H13" si="3">D13+1</f>
        <v>2026</v>
      </c>
      <c r="F13" s="197">
        <f t="shared" si="3"/>
        <v>2027</v>
      </c>
      <c r="G13" s="197">
        <f t="shared" si="3"/>
        <v>2028</v>
      </c>
      <c r="H13" s="197">
        <f t="shared" si="3"/>
        <v>2029</v>
      </c>
      <c r="I13" s="198" t="s">
        <v>225</v>
      </c>
    </row>
    <row r="14" spans="1:9" x14ac:dyDescent="0.2">
      <c r="B14" s="199" t="s">
        <v>231</v>
      </c>
      <c r="C14" s="194">
        <f>-$C$7</f>
        <v>-96.79</v>
      </c>
      <c r="D14" s="194">
        <f>D11</f>
        <v>56.608747423400033</v>
      </c>
      <c r="E14" s="194"/>
      <c r="F14" s="194"/>
      <c r="G14" s="194"/>
      <c r="H14" s="194"/>
      <c r="I14" s="200">
        <f>IRR(C14:D14)</f>
        <v>-0.41513847067465615</v>
      </c>
    </row>
    <row r="15" spans="1:9" x14ac:dyDescent="0.2">
      <c r="B15" s="199"/>
      <c r="C15" s="194">
        <f t="shared" ref="C15:C18" si="4">-$C$7</f>
        <v>-96.79</v>
      </c>
      <c r="D15" s="194"/>
      <c r="E15" s="194">
        <f>E11</f>
        <v>67.891414375306766</v>
      </c>
      <c r="F15" s="194"/>
      <c r="G15" s="194"/>
      <c r="H15" s="194"/>
      <c r="I15" s="200">
        <f>IRR(C15:E15)</f>
        <v>-0.29856995169638645</v>
      </c>
    </row>
    <row r="16" spans="1:9" x14ac:dyDescent="0.2">
      <c r="B16" s="199"/>
      <c r="C16" s="194">
        <f t="shared" si="4"/>
        <v>-96.79</v>
      </c>
      <c r="D16" s="194"/>
      <c r="E16" s="194"/>
      <c r="F16" s="194">
        <f>F11</f>
        <v>78.366310446296467</v>
      </c>
      <c r="G16" s="194"/>
      <c r="H16" s="194"/>
      <c r="I16" s="200">
        <f>IRR(C16:F16)</f>
        <v>-0.19034703537249242</v>
      </c>
    </row>
    <row r="17" spans="1:9" x14ac:dyDescent="0.2">
      <c r="B17" s="199"/>
      <c r="C17" s="194">
        <f t="shared" si="4"/>
        <v>-96.79</v>
      </c>
      <c r="D17" s="194"/>
      <c r="E17" s="194"/>
      <c r="F17" s="194"/>
      <c r="G17" s="194">
        <f>G11</f>
        <v>84.677848223932713</v>
      </c>
      <c r="H17" s="194"/>
      <c r="I17" s="200">
        <f>IRR(C17:G17)</f>
        <v>-0.12513846240383608</v>
      </c>
    </row>
    <row r="18" spans="1:9" x14ac:dyDescent="0.2">
      <c r="B18" s="201"/>
      <c r="C18" s="202">
        <f t="shared" si="4"/>
        <v>-96.79</v>
      </c>
      <c r="D18" s="202"/>
      <c r="E18" s="202"/>
      <c r="F18" s="202"/>
      <c r="G18" s="202"/>
      <c r="H18" s="202">
        <f>H11</f>
        <v>91.764616531240236</v>
      </c>
      <c r="I18" s="203">
        <f>IRR(C18:H18)</f>
        <v>-5.192048216509737E-2</v>
      </c>
    </row>
    <row r="19" spans="1:9" x14ac:dyDescent="0.2">
      <c r="C19" s="204"/>
    </row>
    <row r="20" spans="1:9" x14ac:dyDescent="0.2">
      <c r="I20" s="117"/>
    </row>
    <row r="21" spans="1:9" x14ac:dyDescent="0.2">
      <c r="A21" t="s">
        <v>36</v>
      </c>
      <c r="B21" s="207" t="s">
        <v>232</v>
      </c>
      <c r="C21" s="208">
        <v>2024</v>
      </c>
      <c r="D21" s="209">
        <f>C21+1</f>
        <v>2025</v>
      </c>
      <c r="E21" s="209">
        <f t="shared" ref="E21:H21" si="5">D21+1</f>
        <v>2026</v>
      </c>
      <c r="F21" s="209">
        <f t="shared" si="5"/>
        <v>2027</v>
      </c>
      <c r="G21" s="209">
        <f t="shared" si="5"/>
        <v>2028</v>
      </c>
      <c r="H21" s="209">
        <f t="shared" si="5"/>
        <v>2029</v>
      </c>
    </row>
    <row r="22" spans="1:9" x14ac:dyDescent="0.2">
      <c r="B22" s="205" t="s">
        <v>233</v>
      </c>
      <c r="C22" s="204">
        <f>C7</f>
        <v>96.79</v>
      </c>
      <c r="D22" s="204">
        <f>D11</f>
        <v>56.608747423400033</v>
      </c>
      <c r="E22" s="204">
        <f t="shared" ref="E22:H22" si="6">E11</f>
        <v>67.891414375306766</v>
      </c>
      <c r="F22" s="204">
        <f t="shared" si="6"/>
        <v>78.366310446296467</v>
      </c>
      <c r="G22" s="204">
        <f t="shared" si="6"/>
        <v>84.677848223932713</v>
      </c>
      <c r="H22" s="204">
        <f t="shared" si="6"/>
        <v>91.764616531240236</v>
      </c>
    </row>
    <row r="23" spans="1:9" x14ac:dyDescent="0.2">
      <c r="B23" s="205" t="s">
        <v>234</v>
      </c>
      <c r="C23" s="233">
        <f>C22*C4</f>
        <v>8597662.120000001</v>
      </c>
      <c r="D23" s="233">
        <f t="shared" ref="D23:H23" si="7">D22*D4</f>
        <v>5028441.8161257785</v>
      </c>
      <c r="E23" s="233">
        <f t="shared" si="7"/>
        <v>6030658.5561297499</v>
      </c>
      <c r="F23" s="233">
        <f t="shared" si="7"/>
        <v>6961122.6243236223</v>
      </c>
      <c r="G23" s="233">
        <f t="shared" si="7"/>
        <v>7521763.9020354953</v>
      </c>
      <c r="H23" s="233">
        <f t="shared" si="7"/>
        <v>8151267.3572370075</v>
      </c>
    </row>
    <row r="24" spans="1:9" x14ac:dyDescent="0.2">
      <c r="B24" s="205" t="s">
        <v>235</v>
      </c>
      <c r="C24" s="233">
        <f>'Balance Sheet'!W25-'Balance Sheet'!W5</f>
        <v>760353</v>
      </c>
      <c r="D24" s="233">
        <f>'Balance Sheet'!AA25-'Balance Sheet'!AA5</f>
        <v>400990.320109052</v>
      </c>
      <c r="E24" s="233">
        <f>'Balance Sheet'!AB25-'Balance Sheet'!AB5</f>
        <v>12512.819042333867</v>
      </c>
      <c r="F24" s="233">
        <f>'Balance Sheet'!AC25-'Balance Sheet'!AC5</f>
        <v>-391216.56351491367</v>
      </c>
      <c r="G24" s="233">
        <f>'Balance Sheet'!AD25-'Balance Sheet'!AD5</f>
        <v>-802608.62338748435</v>
      </c>
      <c r="H24" s="233">
        <f>'Balance Sheet'!AE25-'Balance Sheet'!AE5</f>
        <v>-1234234.4197598477</v>
      </c>
    </row>
    <row r="25" spans="1:9" x14ac:dyDescent="0.2">
      <c r="B25" s="205" t="s">
        <v>236</v>
      </c>
      <c r="C25" s="233">
        <f>C23-(C24/1000)</f>
        <v>8596901.7670000009</v>
      </c>
      <c r="D25" s="233">
        <f t="shared" ref="D25:H25" si="8">D23-(D24/1000)</f>
        <v>5028040.8258056697</v>
      </c>
      <c r="E25" s="233">
        <f t="shared" si="8"/>
        <v>6030646.0433107074</v>
      </c>
      <c r="F25" s="233">
        <f t="shared" si="8"/>
        <v>6961513.8408871377</v>
      </c>
      <c r="G25" s="233">
        <f t="shared" si="8"/>
        <v>7522566.5106588826</v>
      </c>
      <c r="H25" s="233">
        <f t="shared" si="8"/>
        <v>8152501.5916567678</v>
      </c>
    </row>
    <row r="26" spans="1:9" x14ac:dyDescent="0.2">
      <c r="B26" s="205" t="s">
        <v>258</v>
      </c>
      <c r="C26" s="233">
        <f>C25-C24</f>
        <v>7836548.7670000009</v>
      </c>
      <c r="D26" s="233">
        <f t="shared" ref="D26:H26" si="9">D25-D24</f>
        <v>4627050.505696618</v>
      </c>
      <c r="E26" s="233">
        <f t="shared" si="9"/>
        <v>6018133.2242683731</v>
      </c>
      <c r="F26" s="233">
        <f t="shared" si="9"/>
        <v>7352730.4044020511</v>
      </c>
      <c r="G26" s="233">
        <f t="shared" si="9"/>
        <v>8325175.1340463664</v>
      </c>
      <c r="H26" s="233">
        <f t="shared" si="9"/>
        <v>9386736.0114166159</v>
      </c>
    </row>
    <row r="27" spans="1:9" x14ac:dyDescent="0.2">
      <c r="B27" s="205" t="s">
        <v>237</v>
      </c>
      <c r="C27" s="233">
        <f>'annual IS'!G27+50573</f>
        <v>212907</v>
      </c>
      <c r="D27" s="233">
        <f>'annual IS'!H27</f>
        <v>241113.17785753985</v>
      </c>
      <c r="E27" s="233">
        <f>'annual IS'!I27+50573</f>
        <v>334295.14686352864</v>
      </c>
      <c r="F27" s="233">
        <f>'annual IS'!J27+50573</f>
        <v>372269.66844796925</v>
      </c>
      <c r="G27" s="233">
        <f>'annual IS'!K27+50573</f>
        <v>395806.2478231095</v>
      </c>
      <c r="H27" s="233">
        <f>'annual IS'!L27+50573</f>
        <v>421332.57836637821</v>
      </c>
    </row>
    <row r="28" spans="1:9" x14ac:dyDescent="0.2">
      <c r="B28" s="206" t="s">
        <v>238</v>
      </c>
      <c r="C28" s="204">
        <f>C25/C27</f>
        <v>40.378671283706034</v>
      </c>
      <c r="D28" s="204">
        <f t="shared" ref="D28:H28" si="10">D25/D27</f>
        <v>20.85344679408794</v>
      </c>
      <c r="E28" s="204">
        <f t="shared" si="10"/>
        <v>18.039885113177053</v>
      </c>
      <c r="F28" s="204">
        <f t="shared" si="10"/>
        <v>18.700190831851568</v>
      </c>
      <c r="G28" s="204">
        <f t="shared" si="10"/>
        <v>19.005679046331796</v>
      </c>
      <c r="H28" s="204">
        <f t="shared" si="10"/>
        <v>19.349326423478214</v>
      </c>
    </row>
    <row r="30" spans="1:9" x14ac:dyDescent="0.2">
      <c r="B30" s="205" t="s">
        <v>228</v>
      </c>
      <c r="C30" s="192">
        <f>C7</f>
        <v>96.79</v>
      </c>
    </row>
    <row r="31" spans="1:9" x14ac:dyDescent="0.2">
      <c r="B31" s="205"/>
    </row>
    <row r="32" spans="1:9" x14ac:dyDescent="0.2">
      <c r="B32" s="205" t="s">
        <v>230</v>
      </c>
      <c r="D32" s="191">
        <f>D26/D4</f>
        <v>52.089999838976652</v>
      </c>
      <c r="E32" s="191">
        <f t="shared" ref="E32:H32" si="11">E26/E4</f>
        <v>67.75040780236381</v>
      </c>
      <c r="F32" s="191">
        <f t="shared" si="11"/>
        <v>82.774917868262833</v>
      </c>
      <c r="G32" s="191">
        <f t="shared" si="11"/>
        <v>93.722420115800944</v>
      </c>
      <c r="H32" s="191">
        <f t="shared" si="11"/>
        <v>105.67316624731635</v>
      </c>
    </row>
    <row r="34" spans="2:9" x14ac:dyDescent="0.2">
      <c r="B34" s="195"/>
      <c r="C34" s="196">
        <v>2024</v>
      </c>
      <c r="D34" s="197">
        <f>C34+1</f>
        <v>2025</v>
      </c>
      <c r="E34" s="197">
        <f t="shared" ref="E34:H34" si="12">D34+1</f>
        <v>2026</v>
      </c>
      <c r="F34" s="197">
        <f t="shared" si="12"/>
        <v>2027</v>
      </c>
      <c r="G34" s="197">
        <f t="shared" si="12"/>
        <v>2028</v>
      </c>
      <c r="H34" s="197">
        <f t="shared" si="12"/>
        <v>2029</v>
      </c>
      <c r="I34" s="198" t="s">
        <v>225</v>
      </c>
    </row>
    <row r="35" spans="2:9" x14ac:dyDescent="0.2">
      <c r="B35" s="199" t="s">
        <v>231</v>
      </c>
      <c r="C35" s="194">
        <f>-$C$7</f>
        <v>-96.79</v>
      </c>
      <c r="D35" s="194">
        <f>D32</f>
        <v>52.089999838976652</v>
      </c>
      <c r="E35" s="194"/>
      <c r="F35" s="194"/>
      <c r="G35" s="194"/>
      <c r="H35" s="194"/>
      <c r="I35" s="200">
        <f>IRR(C35:D35)</f>
        <v>-0.46182457031742286</v>
      </c>
    </row>
    <row r="36" spans="2:9" x14ac:dyDescent="0.2">
      <c r="B36" s="199"/>
      <c r="C36" s="194">
        <f t="shared" ref="C36:C39" si="13">-$C$7</f>
        <v>-96.79</v>
      </c>
      <c r="D36" s="194"/>
      <c r="E36" s="194">
        <f>E32</f>
        <v>67.75040780236381</v>
      </c>
      <c r="F36" s="194"/>
      <c r="G36" s="194"/>
      <c r="H36" s="194"/>
      <c r="I36" s="200">
        <f>IRR(C36:E36)</f>
        <v>-0.30002678166790164</v>
      </c>
    </row>
    <row r="37" spans="2:9" x14ac:dyDescent="0.2">
      <c r="B37" s="199"/>
      <c r="C37" s="194">
        <f t="shared" si="13"/>
        <v>-96.79</v>
      </c>
      <c r="D37" s="194"/>
      <c r="E37" s="194"/>
      <c r="F37" s="194">
        <f>F32</f>
        <v>82.774917868262833</v>
      </c>
      <c r="G37" s="194"/>
      <c r="H37" s="194"/>
      <c r="I37" s="200">
        <f>IRR(C37:F37)</f>
        <v>-0.14479886488002025</v>
      </c>
    </row>
    <row r="38" spans="2:9" x14ac:dyDescent="0.2">
      <c r="B38" s="199"/>
      <c r="C38" s="194">
        <f t="shared" si="13"/>
        <v>-96.79</v>
      </c>
      <c r="D38" s="194"/>
      <c r="E38" s="194"/>
      <c r="F38" s="194"/>
      <c r="G38" s="194">
        <f>G32</f>
        <v>93.722420115800944</v>
      </c>
      <c r="H38" s="194"/>
      <c r="I38" s="200">
        <f>IRR(C38:G38)</f>
        <v>-3.1693148922399716E-2</v>
      </c>
    </row>
    <row r="39" spans="2:9" x14ac:dyDescent="0.2">
      <c r="B39" s="201"/>
      <c r="C39" s="202">
        <f t="shared" si="13"/>
        <v>-96.79</v>
      </c>
      <c r="D39" s="202"/>
      <c r="E39" s="202"/>
      <c r="F39" s="202"/>
      <c r="G39" s="202"/>
      <c r="H39" s="202">
        <f>H32</f>
        <v>105.67316624731635</v>
      </c>
      <c r="I39" s="203">
        <f>IRR(C39:H39)</f>
        <v>9.1777727526772601E-2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739C-AB9C-AB42-A773-6CBC277C769C}">
  <dimension ref="B2:N22"/>
  <sheetViews>
    <sheetView showGridLines="0" zoomScale="125" zoomScaleNormal="125" workbookViewId="0">
      <selection activeCell="E24" sqref="E24"/>
    </sheetView>
  </sheetViews>
  <sheetFormatPr baseColWidth="10" defaultRowHeight="16" x14ac:dyDescent="0.2"/>
  <cols>
    <col min="2" max="2" width="16.33203125" bestFit="1" customWidth="1"/>
    <col min="3" max="7" width="13.5" bestFit="1" customWidth="1"/>
    <col min="10" max="10" width="23.33203125" bestFit="1" customWidth="1"/>
    <col min="11" max="11" width="8.5" bestFit="1" customWidth="1"/>
  </cols>
  <sheetData>
    <row r="2" spans="2:14" x14ac:dyDescent="0.2">
      <c r="B2" s="225" t="s">
        <v>257</v>
      </c>
      <c r="C2" s="325" t="s">
        <v>1</v>
      </c>
      <c r="D2" s="325"/>
      <c r="E2" s="325"/>
      <c r="F2" s="325"/>
      <c r="G2" s="325"/>
      <c r="H2" s="210"/>
      <c r="I2" s="210"/>
      <c r="J2" s="225" t="s">
        <v>239</v>
      </c>
      <c r="K2" s="226"/>
    </row>
    <row r="3" spans="2:14" x14ac:dyDescent="0.2">
      <c r="B3" s="225"/>
      <c r="C3" s="227" t="s">
        <v>116</v>
      </c>
      <c r="D3" s="227" t="s">
        <v>121</v>
      </c>
      <c r="E3" s="227" t="s">
        <v>122</v>
      </c>
      <c r="F3" s="227" t="s">
        <v>123</v>
      </c>
      <c r="G3" s="227" t="s">
        <v>124</v>
      </c>
      <c r="H3" s="210"/>
      <c r="I3" s="210"/>
      <c r="J3" s="211" t="s">
        <v>240</v>
      </c>
      <c r="K3" s="212">
        <v>46003</v>
      </c>
    </row>
    <row r="4" spans="2:14" x14ac:dyDescent="0.2">
      <c r="B4" s="210" t="s">
        <v>224</v>
      </c>
      <c r="C4" s="230">
        <f>'Cash Flow Statement'!C35</f>
        <v>455472.15360983566</v>
      </c>
      <c r="D4" s="230">
        <f>'Cash Flow Statement'!D35</f>
        <v>457377.74746936013</v>
      </c>
      <c r="E4" s="230">
        <f>'Cash Flow Statement'!E35</f>
        <v>470224.95610859769</v>
      </c>
      <c r="F4" s="230">
        <f>'Cash Flow Statement'!F35</f>
        <v>448373.570203493</v>
      </c>
      <c r="G4" s="230">
        <f>'Cash Flow Statement'!G35</f>
        <v>470647.4665075356</v>
      </c>
      <c r="H4" s="210"/>
      <c r="I4" s="210"/>
      <c r="J4" s="211" t="s">
        <v>241</v>
      </c>
      <c r="K4" s="212">
        <v>46053</v>
      </c>
    </row>
    <row r="5" spans="2:14" x14ac:dyDescent="0.2">
      <c r="B5" s="213" t="s">
        <v>260</v>
      </c>
      <c r="C5" s="214">
        <v>0</v>
      </c>
      <c r="D5" s="214">
        <v>0</v>
      </c>
      <c r="E5" s="214">
        <v>0</v>
      </c>
      <c r="F5" s="214">
        <v>0</v>
      </c>
      <c r="G5" s="214">
        <v>0</v>
      </c>
      <c r="H5" s="210"/>
      <c r="I5" s="210"/>
      <c r="J5" s="215" t="s">
        <v>242</v>
      </c>
      <c r="K5" s="216">
        <v>0.02</v>
      </c>
    </row>
    <row r="6" spans="2:14" x14ac:dyDescent="0.2">
      <c r="B6" s="217" t="s">
        <v>243</v>
      </c>
      <c r="C6" s="218">
        <f>C4/1000</f>
        <v>455.47215360983569</v>
      </c>
      <c r="D6" s="218">
        <f t="shared" ref="D6:G6" si="0">D4/1000</f>
        <v>457.37774746936014</v>
      </c>
      <c r="E6" s="218">
        <f t="shared" si="0"/>
        <v>470.22495610859767</v>
      </c>
      <c r="F6" s="218">
        <f t="shared" si="0"/>
        <v>448.37357020349299</v>
      </c>
      <c r="G6" s="218">
        <f t="shared" si="0"/>
        <v>470.64746650753563</v>
      </c>
      <c r="H6" s="210"/>
      <c r="I6" s="210"/>
      <c r="J6" s="210"/>
      <c r="K6" s="210"/>
    </row>
    <row r="7" spans="2:14" x14ac:dyDescent="0.2">
      <c r="B7" s="210"/>
      <c r="C7" s="210"/>
      <c r="D7" s="210"/>
      <c r="E7" s="210"/>
      <c r="F7" s="210"/>
      <c r="G7" s="210"/>
      <c r="H7" s="210"/>
      <c r="I7" s="210"/>
      <c r="J7" s="210" t="s">
        <v>244</v>
      </c>
      <c r="K7" s="210"/>
    </row>
    <row r="8" spans="2:14" x14ac:dyDescent="0.2">
      <c r="B8" s="210"/>
      <c r="C8" s="210"/>
      <c r="D8" s="210"/>
      <c r="E8" s="210"/>
      <c r="F8" s="210"/>
      <c r="G8" s="210"/>
      <c r="H8" s="210"/>
      <c r="I8" s="210"/>
      <c r="J8" s="228" t="s">
        <v>245</v>
      </c>
      <c r="K8" s="229"/>
    </row>
    <row r="9" spans="2:14" x14ac:dyDescent="0.2">
      <c r="B9" s="210"/>
      <c r="C9" s="210"/>
      <c r="D9" s="210"/>
      <c r="E9" s="210"/>
      <c r="F9" s="210"/>
      <c r="G9" s="210"/>
      <c r="H9" s="210"/>
      <c r="I9" s="210"/>
      <c r="J9" s="211" t="s">
        <v>246</v>
      </c>
      <c r="K9" s="231">
        <v>4.19E-2</v>
      </c>
    </row>
    <row r="10" spans="2:14" x14ac:dyDescent="0.2">
      <c r="B10" s="219" t="s">
        <v>247</v>
      </c>
      <c r="C10" s="220">
        <f>1/(1+$K$12)^1</f>
        <v>0.95187509875704135</v>
      </c>
      <c r="D10" s="220">
        <f>1/(1+$K$12)^2</f>
        <v>0.90606620363372736</v>
      </c>
      <c r="E10" s="220">
        <f>1/(1+$K$12)^3</f>
        <v>0.86246185706427181</v>
      </c>
      <c r="F10" s="220">
        <f>1/(1+$K$12)^4</f>
        <v>0.82095596536723503</v>
      </c>
      <c r="G10" s="220">
        <f>1/(1+$K$12)^5</f>
        <v>0.78144754060911903</v>
      </c>
      <c r="H10" s="210"/>
      <c r="I10" s="210"/>
      <c r="J10" s="211" t="s">
        <v>248</v>
      </c>
      <c r="K10" s="120">
        <v>0.18</v>
      </c>
    </row>
    <row r="11" spans="2:14" x14ac:dyDescent="0.2">
      <c r="B11" s="210" t="s">
        <v>249</v>
      </c>
      <c r="C11" s="221">
        <f>C6*C10</f>
        <v>433.55260119844468</v>
      </c>
      <c r="D11" s="221">
        <f t="shared" ref="D11:G11" si="1">D6*D10</f>
        <v>414.41451927610882</v>
      </c>
      <c r="E11" s="221">
        <f t="shared" si="1"/>
        <v>405.55108888338685</v>
      </c>
      <c r="F11" s="221">
        <f t="shared" si="1"/>
        <v>368.09495717156233</v>
      </c>
      <c r="G11" s="221">
        <f t="shared" si="1"/>
        <v>367.78630519622641</v>
      </c>
      <c r="H11" s="210"/>
      <c r="I11" s="210"/>
      <c r="J11" s="211" t="s">
        <v>250</v>
      </c>
      <c r="K11" s="231">
        <v>0.09</v>
      </c>
      <c r="N11" s="155"/>
    </row>
    <row r="12" spans="2:14" x14ac:dyDescent="0.2">
      <c r="B12" s="210"/>
      <c r="C12" s="210"/>
      <c r="D12" s="210"/>
      <c r="E12" s="210"/>
      <c r="F12" s="210"/>
      <c r="G12" s="210"/>
      <c r="H12" s="210"/>
      <c r="I12" s="210"/>
      <c r="J12" s="215" t="s">
        <v>261</v>
      </c>
      <c r="K12" s="232">
        <f>K9+(0.18*(K11-K9))</f>
        <v>5.0557999999999999E-2</v>
      </c>
    </row>
    <row r="13" spans="2:14" x14ac:dyDescent="0.2">
      <c r="B13" s="210"/>
      <c r="C13" s="210"/>
      <c r="D13" s="210"/>
      <c r="E13" s="210"/>
      <c r="F13" s="210"/>
      <c r="G13" s="210"/>
      <c r="H13" s="210"/>
      <c r="I13" s="210"/>
      <c r="J13" s="210"/>
      <c r="K13" s="210"/>
    </row>
    <row r="14" spans="2:14" x14ac:dyDescent="0.2">
      <c r="B14" s="210"/>
      <c r="C14" s="210"/>
      <c r="D14" s="210"/>
      <c r="E14" s="210"/>
      <c r="F14" s="210"/>
      <c r="G14" s="210"/>
      <c r="H14" s="210"/>
      <c r="I14" s="210"/>
      <c r="J14" s="210"/>
      <c r="K14" s="210"/>
    </row>
    <row r="15" spans="2:14" x14ac:dyDescent="0.2">
      <c r="B15" s="210"/>
      <c r="C15" s="210"/>
      <c r="D15" s="210"/>
      <c r="E15" s="210"/>
      <c r="F15" s="210"/>
      <c r="G15" s="210"/>
      <c r="H15" s="210"/>
      <c r="I15" s="210"/>
      <c r="J15" s="210"/>
      <c r="K15" s="210"/>
    </row>
    <row r="16" spans="2:14" x14ac:dyDescent="0.2">
      <c r="B16" s="210"/>
      <c r="C16" s="210"/>
      <c r="D16" s="210"/>
      <c r="E16" s="210"/>
      <c r="F16" s="210"/>
      <c r="G16" s="210"/>
      <c r="H16" s="210"/>
      <c r="I16" s="210"/>
      <c r="J16" s="210"/>
      <c r="K16" s="210"/>
    </row>
    <row r="17" spans="2:11" x14ac:dyDescent="0.2">
      <c r="B17" s="225" t="s">
        <v>251</v>
      </c>
      <c r="C17" s="226"/>
      <c r="D17" s="210"/>
      <c r="E17" s="210"/>
      <c r="F17" s="210"/>
      <c r="G17" s="210"/>
      <c r="H17" s="210"/>
      <c r="I17" s="210"/>
      <c r="J17" s="210"/>
      <c r="K17" s="210"/>
    </row>
    <row r="18" spans="2:11" x14ac:dyDescent="0.2">
      <c r="B18" s="210" t="s">
        <v>252</v>
      </c>
      <c r="C18" s="222">
        <f>(G6*(1+K5))/(K12-K5)</f>
        <v>15709.811369778334</v>
      </c>
      <c r="D18" s="210"/>
      <c r="E18" s="210"/>
      <c r="F18" s="210"/>
      <c r="G18" s="210"/>
      <c r="H18" s="210"/>
      <c r="I18" s="210"/>
      <c r="J18" s="210"/>
      <c r="K18" s="210"/>
    </row>
    <row r="19" spans="2:11" x14ac:dyDescent="0.2">
      <c r="B19" s="210" t="s">
        <v>253</v>
      </c>
      <c r="C19" s="222">
        <f>C18*G10</f>
        <v>12276.393458346454</v>
      </c>
      <c r="D19" s="210"/>
      <c r="E19" s="223"/>
      <c r="F19" s="210"/>
      <c r="G19" s="210"/>
      <c r="H19" s="210"/>
      <c r="I19" s="210"/>
      <c r="J19" s="210"/>
      <c r="K19" s="210"/>
    </row>
    <row r="20" spans="2:11" x14ac:dyDescent="0.2">
      <c r="B20" s="210" t="s">
        <v>254</v>
      </c>
      <c r="C20" s="222">
        <f>SUM(C11:G11,C19)</f>
        <v>14265.792930072184</v>
      </c>
      <c r="D20" s="210"/>
      <c r="E20" s="210"/>
      <c r="F20" s="210"/>
      <c r="G20" s="210"/>
      <c r="H20" s="210"/>
      <c r="I20" s="210"/>
      <c r="J20" s="210"/>
      <c r="K20" s="210"/>
    </row>
    <row r="21" spans="2:11" x14ac:dyDescent="0.2">
      <c r="B21" s="210" t="s">
        <v>255</v>
      </c>
      <c r="C21" s="224">
        <f>'annual IS'!G47</f>
        <v>88828</v>
      </c>
      <c r="D21" s="210"/>
      <c r="E21" s="210"/>
      <c r="F21" s="210"/>
      <c r="G21" s="210"/>
      <c r="H21" s="210"/>
      <c r="I21" s="210"/>
      <c r="J21" s="210"/>
      <c r="K21" s="210"/>
    </row>
    <row r="22" spans="2:11" x14ac:dyDescent="0.2">
      <c r="B22" s="210" t="s">
        <v>256</v>
      </c>
      <c r="C22" s="222">
        <f>C20/(C21/1000)</f>
        <v>160.60018158769964</v>
      </c>
      <c r="D22" s="210"/>
      <c r="E22" s="210"/>
      <c r="F22" s="210"/>
      <c r="G22" s="210"/>
      <c r="H22" s="210"/>
      <c r="I22" s="210"/>
      <c r="J22" s="210"/>
      <c r="K22" s="210"/>
    </row>
  </sheetData>
  <mergeCells count="1">
    <mergeCell ref="C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0A74-3947-3F4C-A4B9-62BB19B7CCC3}">
  <dimension ref="C6:E22"/>
  <sheetViews>
    <sheetView showGridLines="0" workbookViewId="0">
      <selection activeCell="G9" sqref="G9"/>
    </sheetView>
  </sheetViews>
  <sheetFormatPr baseColWidth="10" defaultRowHeight="16" x14ac:dyDescent="0.2"/>
  <cols>
    <col min="1" max="1" width="14.1640625" bestFit="1" customWidth="1"/>
    <col min="3" max="3" width="13.6640625" customWidth="1"/>
    <col min="4" max="4" width="11.6640625" bestFit="1" customWidth="1"/>
  </cols>
  <sheetData>
    <row r="6" spans="3:5" x14ac:dyDescent="0.2">
      <c r="C6" s="326" t="s">
        <v>262</v>
      </c>
      <c r="D6" s="326"/>
    </row>
    <row r="7" spans="3:5" x14ac:dyDescent="0.2">
      <c r="C7" t="s">
        <v>263</v>
      </c>
      <c r="D7" s="234" t="s">
        <v>264</v>
      </c>
      <c r="E7" s="119">
        <v>1199774</v>
      </c>
    </row>
    <row r="8" spans="3:5" x14ac:dyDescent="0.2">
      <c r="C8" t="s">
        <v>265</v>
      </c>
      <c r="D8" s="235">
        <f>'[1]quarterly IS'!W16</f>
        <v>0.64783784279372614</v>
      </c>
    </row>
    <row r="9" spans="3:5" x14ac:dyDescent="0.2">
      <c r="C9" t="s">
        <v>237</v>
      </c>
      <c r="D9" s="234" t="s">
        <v>266</v>
      </c>
      <c r="E9">
        <v>212907</v>
      </c>
    </row>
    <row r="10" spans="3:5" x14ac:dyDescent="0.2">
      <c r="C10" t="s">
        <v>227</v>
      </c>
      <c r="D10" s="236">
        <v>1.1100000000000001</v>
      </c>
    </row>
    <row r="11" spans="3:5" x14ac:dyDescent="0.2">
      <c r="C11" t="s">
        <v>267</v>
      </c>
      <c r="D11" s="237">
        <f>D22/E9</f>
        <v>43.953534266134987</v>
      </c>
    </row>
    <row r="13" spans="3:5" x14ac:dyDescent="0.2">
      <c r="C13" s="326" t="s">
        <v>268</v>
      </c>
      <c r="D13" s="326"/>
    </row>
    <row r="14" spans="3:5" x14ac:dyDescent="0.2">
      <c r="C14" t="s">
        <v>228</v>
      </c>
      <c r="D14" s="236">
        <v>96.79</v>
      </c>
    </row>
    <row r="15" spans="3:5" x14ac:dyDescent="0.2">
      <c r="C15" t="s">
        <v>269</v>
      </c>
      <c r="D15" s="238">
        <v>-2.0000000000000001E-4</v>
      </c>
    </row>
    <row r="16" spans="3:5" x14ac:dyDescent="0.2">
      <c r="C16" t="s">
        <v>270</v>
      </c>
      <c r="D16" s="239" t="s">
        <v>271</v>
      </c>
    </row>
    <row r="17" spans="3:4" x14ac:dyDescent="0.2">
      <c r="C17" t="s">
        <v>272</v>
      </c>
      <c r="D17" s="239" t="s">
        <v>273</v>
      </c>
    </row>
    <row r="20" spans="3:4" x14ac:dyDescent="0.2">
      <c r="C20" s="115"/>
    </row>
    <row r="22" spans="3:4" x14ac:dyDescent="0.2">
      <c r="C22" t="s">
        <v>236</v>
      </c>
      <c r="D22" s="204">
        <f>(([1]IRR!C7*'[1]annual IS'!G46)+'[1]Balance Sheet'!W25-'[1]Balance Sheet'!W5)</f>
        <v>9358015.120000001</v>
      </c>
    </row>
  </sheetData>
  <mergeCells count="2">
    <mergeCell ref="C6:D6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quarterly IS</vt:lpstr>
      <vt:lpstr>annual IS</vt:lpstr>
      <vt:lpstr>Balance Sheet</vt:lpstr>
      <vt:lpstr>Expense Build</vt:lpstr>
      <vt:lpstr>Revenue Build</vt:lpstr>
      <vt:lpstr>Balance Sheet Build</vt:lpstr>
      <vt:lpstr>Cash Flow Statement</vt:lpstr>
      <vt:lpstr>IRR</vt:lpstr>
      <vt:lpstr>DCF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Mason</dc:creator>
  <cp:lastModifiedBy>Jack Mason</cp:lastModifiedBy>
  <dcterms:created xsi:type="dcterms:W3CDTF">2025-11-08T17:37:33Z</dcterms:created>
  <dcterms:modified xsi:type="dcterms:W3CDTF">2025-12-23T04:14:52Z</dcterms:modified>
</cp:coreProperties>
</file>