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kmason/Desktop/html_website/"/>
    </mc:Choice>
  </mc:AlternateContent>
  <xr:revisionPtr revIDLastSave="0" documentId="8_{AC3C275B-B306-F241-A002-9526AC3B1889}" xr6:coauthVersionLast="47" xr6:coauthVersionMax="47" xr10:uidLastSave="{00000000-0000-0000-0000-000000000000}"/>
  <bookViews>
    <workbookView xWindow="0" yWindow="760" windowWidth="29400" windowHeight="18360" activeTab="6" xr2:uid="{A4CC8615-046B-1645-9CCC-7D8296FA778F}"/>
  </bookViews>
  <sheets>
    <sheet name="Income Statement Historical" sheetId="1" r:id="rId1"/>
    <sheet name="Expense Build" sheetId="4" r:id="rId2"/>
    <sheet name="Revenue Build" sheetId="3" r:id="rId3"/>
    <sheet name="Revenue Mapping of old segments" sheetId="9" r:id="rId4"/>
    <sheet name="Balance Sheet Build" sheetId="5" r:id="rId5"/>
    <sheet name="Balance Sheet" sheetId="2" r:id="rId6"/>
    <sheet name="Cash Flow Statement" sheetId="6" r:id="rId7"/>
    <sheet name="IRR" sheetId="7" r:id="rId8"/>
    <sheet name="DCF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  <c r="C38" i="7"/>
  <c r="C37" i="7"/>
  <c r="C36" i="7"/>
  <c r="C35" i="7"/>
  <c r="C34" i="7"/>
  <c r="D33" i="7"/>
  <c r="E33" i="7" s="1"/>
  <c r="F33" i="7" s="1"/>
  <c r="G33" i="7" s="1"/>
  <c r="H33" i="7" s="1"/>
  <c r="C29" i="7"/>
  <c r="C24" i="7"/>
  <c r="C22" i="7"/>
  <c r="D21" i="7"/>
  <c r="E21" i="7" s="1"/>
  <c r="F21" i="7" s="1"/>
  <c r="G21" i="7" s="1"/>
  <c r="H21" i="7" s="1"/>
  <c r="D52" i="5"/>
  <c r="E52" i="5"/>
  <c r="F52" i="5"/>
  <c r="G52" i="5"/>
  <c r="H52" i="5" s="1"/>
  <c r="C52" i="5"/>
  <c r="D58" i="1"/>
  <c r="E58" i="1"/>
  <c r="F58" i="1"/>
  <c r="G58" i="1"/>
  <c r="C58" i="1"/>
  <c r="E57" i="1"/>
  <c r="F57" i="1"/>
  <c r="G57" i="1"/>
  <c r="C57" i="1"/>
  <c r="K51" i="1"/>
  <c r="L51" i="1"/>
  <c r="M51" i="1"/>
  <c r="N51" i="1"/>
  <c r="J51" i="1"/>
  <c r="K50" i="1"/>
  <c r="L50" i="1"/>
  <c r="L52" i="1" s="1"/>
  <c r="M50" i="1"/>
  <c r="M52" i="1" s="1"/>
  <c r="N50" i="1"/>
  <c r="J50" i="1"/>
  <c r="J52" i="1" s="1"/>
  <c r="K49" i="1"/>
  <c r="K52" i="1" s="1"/>
  <c r="L49" i="1"/>
  <c r="M49" i="1"/>
  <c r="N49" i="1"/>
  <c r="N52" i="1" s="1"/>
  <c r="J49" i="1"/>
  <c r="K44" i="1"/>
  <c r="L44" i="1" s="1"/>
  <c r="M44" i="1" s="1"/>
  <c r="N44" i="1" s="1"/>
  <c r="D48" i="1"/>
  <c r="C48" i="1"/>
  <c r="F48" i="1"/>
  <c r="G48" i="1"/>
  <c r="E48" i="1"/>
  <c r="D44" i="1"/>
  <c r="E44" i="1" s="1"/>
  <c r="F44" i="1" s="1"/>
  <c r="G44" i="1" s="1"/>
  <c r="D57" i="1" l="1"/>
  <c r="I52" i="5"/>
  <c r="H26" i="2"/>
  <c r="C23" i="6" s="1"/>
  <c r="I35" i="2"/>
  <c r="J35" i="2"/>
  <c r="K35" i="2" s="1"/>
  <c r="L35" i="2" s="1"/>
  <c r="H35" i="2"/>
  <c r="H15" i="2"/>
  <c r="I15" i="2" s="1"/>
  <c r="J15" i="2" s="1"/>
  <c r="K15" i="2" s="1"/>
  <c r="L15" i="2" s="1"/>
  <c r="I14" i="2"/>
  <c r="J14" i="2"/>
  <c r="K14" i="2" s="1"/>
  <c r="L14" i="2" s="1"/>
  <c r="H14" i="2"/>
  <c r="I70" i="1"/>
  <c r="H70" i="1"/>
  <c r="S8" i="3"/>
  <c r="T8" i="3"/>
  <c r="S9" i="3"/>
  <c r="T9" i="3"/>
  <c r="R8" i="3"/>
  <c r="R9" i="3"/>
  <c r="W9" i="3"/>
  <c r="S7" i="3"/>
  <c r="T7" i="3"/>
  <c r="U7" i="3"/>
  <c r="R7" i="3"/>
  <c r="W8" i="3"/>
  <c r="W7" i="3"/>
  <c r="V8" i="3"/>
  <c r="V9" i="3"/>
  <c r="V7" i="3"/>
  <c r="U8" i="3"/>
  <c r="U9" i="3"/>
  <c r="R3" i="3"/>
  <c r="S3" i="3"/>
  <c r="T3" i="3"/>
  <c r="U3" i="3"/>
  <c r="R4" i="3"/>
  <c r="S4" i="3"/>
  <c r="T4" i="3"/>
  <c r="U4" i="3"/>
  <c r="R5" i="3"/>
  <c r="S5" i="3"/>
  <c r="T5" i="3"/>
  <c r="U5" i="3"/>
  <c r="Q4" i="3"/>
  <c r="Q5" i="3"/>
  <c r="Q3" i="3"/>
  <c r="H57" i="3"/>
  <c r="H58" i="3"/>
  <c r="H59" i="3"/>
  <c r="H60" i="3"/>
  <c r="H61" i="3"/>
  <c r="H62" i="3"/>
  <c r="H63" i="3"/>
  <c r="H64" i="3"/>
  <c r="H65" i="3"/>
  <c r="H66" i="3"/>
  <c r="H67" i="3"/>
  <c r="H68" i="3"/>
  <c r="H56" i="3"/>
  <c r="K69" i="3"/>
  <c r="L69" i="3"/>
  <c r="M69" i="3"/>
  <c r="E69" i="3"/>
  <c r="D69" i="3"/>
  <c r="D59" i="3"/>
  <c r="D62" i="3"/>
  <c r="D65" i="3"/>
  <c r="C65" i="3"/>
  <c r="C62" i="3"/>
  <c r="C59" i="3"/>
  <c r="D56" i="3"/>
  <c r="C56" i="3"/>
  <c r="G59" i="3"/>
  <c r="G56" i="3"/>
  <c r="F56" i="3"/>
  <c r="F59" i="3"/>
  <c r="G62" i="3"/>
  <c r="F62" i="3"/>
  <c r="F68" i="3" s="1"/>
  <c r="F69" i="3" s="1"/>
  <c r="G65" i="3"/>
  <c r="G68" i="3" s="1"/>
  <c r="F65" i="3"/>
  <c r="E65" i="3"/>
  <c r="E62" i="3"/>
  <c r="E59" i="3"/>
  <c r="E56" i="3"/>
  <c r="E34" i="1"/>
  <c r="F34" i="1"/>
  <c r="G34" i="1"/>
  <c r="D34" i="1"/>
  <c r="H42" i="2"/>
  <c r="C19" i="6" s="1"/>
  <c r="H23" i="4"/>
  <c r="I23" i="4" s="1"/>
  <c r="J23" i="4" s="1"/>
  <c r="K23" i="4" s="1"/>
  <c r="H17" i="3"/>
  <c r="I17" i="3"/>
  <c r="J17" i="3"/>
  <c r="K17" i="3"/>
  <c r="L17" i="3" s="1"/>
  <c r="H18" i="3"/>
  <c r="I18" i="3" s="1"/>
  <c r="J18" i="3" s="1"/>
  <c r="K18" i="3" s="1"/>
  <c r="L18" i="3" s="1"/>
  <c r="H16" i="3"/>
  <c r="I16" i="3" s="1"/>
  <c r="J16" i="3" s="1"/>
  <c r="K16" i="3" s="1"/>
  <c r="L16" i="3" s="1"/>
  <c r="H13" i="3"/>
  <c r="I13" i="3" s="1"/>
  <c r="J13" i="3" s="1"/>
  <c r="K13" i="3" s="1"/>
  <c r="L13" i="3" s="1"/>
  <c r="H14" i="3"/>
  <c r="I14" i="3" s="1"/>
  <c r="J14" i="3" s="1"/>
  <c r="K14" i="3" s="1"/>
  <c r="L14" i="3" s="1"/>
  <c r="H12" i="3"/>
  <c r="I12" i="3" s="1"/>
  <c r="J12" i="3" s="1"/>
  <c r="K12" i="3" s="1"/>
  <c r="L12" i="3" s="1"/>
  <c r="H9" i="3"/>
  <c r="I9" i="3" s="1"/>
  <c r="J9" i="3" s="1"/>
  <c r="K9" i="3" s="1"/>
  <c r="L9" i="3" s="1"/>
  <c r="H10" i="3"/>
  <c r="I10" i="3" s="1"/>
  <c r="J10" i="3" s="1"/>
  <c r="K10" i="3" s="1"/>
  <c r="L10" i="3" s="1"/>
  <c r="H8" i="3"/>
  <c r="I8" i="3" s="1"/>
  <c r="J8" i="3" s="1"/>
  <c r="K8" i="3" s="1"/>
  <c r="L8" i="3" s="1"/>
  <c r="H5" i="3"/>
  <c r="I5" i="3" s="1"/>
  <c r="J5" i="3" s="1"/>
  <c r="K5" i="3" s="1"/>
  <c r="L5" i="3" s="1"/>
  <c r="H6" i="3"/>
  <c r="I6" i="3" s="1"/>
  <c r="J6" i="3" s="1"/>
  <c r="K6" i="3" s="1"/>
  <c r="L6" i="3" s="1"/>
  <c r="H4" i="3"/>
  <c r="I4" i="3" s="1"/>
  <c r="J4" i="3" s="1"/>
  <c r="K4" i="3" s="1"/>
  <c r="L4" i="3" s="1"/>
  <c r="I45" i="2"/>
  <c r="J45" i="2"/>
  <c r="K45" i="2"/>
  <c r="L45" i="2"/>
  <c r="H45" i="2"/>
  <c r="I39" i="2"/>
  <c r="J39" i="2"/>
  <c r="K39" i="2"/>
  <c r="L39" i="2"/>
  <c r="I40" i="2"/>
  <c r="J40" i="2"/>
  <c r="K40" i="2"/>
  <c r="L40" i="2"/>
  <c r="H40" i="2"/>
  <c r="H39" i="2"/>
  <c r="C29" i="2"/>
  <c r="D29" i="2"/>
  <c r="G29" i="2"/>
  <c r="H34" i="2"/>
  <c r="I34" i="2" s="1"/>
  <c r="J34" i="2" s="1"/>
  <c r="K34" i="2" s="1"/>
  <c r="L34" i="2" s="1"/>
  <c r="I64" i="5"/>
  <c r="J64" i="5"/>
  <c r="K64" i="5"/>
  <c r="L64" i="5"/>
  <c r="H64" i="5"/>
  <c r="F17" i="4"/>
  <c r="E17" i="4"/>
  <c r="D17" i="4"/>
  <c r="C17" i="4"/>
  <c r="B17" i="4"/>
  <c r="G30" i="4"/>
  <c r="H30" i="4" s="1"/>
  <c r="I30" i="4" s="1"/>
  <c r="J30" i="4" s="1"/>
  <c r="K30" i="4" s="1"/>
  <c r="G29" i="4"/>
  <c r="H29" i="4" s="1"/>
  <c r="I29" i="4" s="1"/>
  <c r="J29" i="4" s="1"/>
  <c r="K29" i="4" s="1"/>
  <c r="D56" i="5"/>
  <c r="E56" i="5"/>
  <c r="F56" i="5"/>
  <c r="G56" i="5"/>
  <c r="C56" i="5"/>
  <c r="G61" i="5"/>
  <c r="F61" i="5"/>
  <c r="E61" i="5"/>
  <c r="D61" i="5"/>
  <c r="C61" i="5"/>
  <c r="AC31" i="9"/>
  <c r="T40" i="9"/>
  <c r="T41" i="9"/>
  <c r="T39" i="9"/>
  <c r="T36" i="9"/>
  <c r="T37" i="9"/>
  <c r="T35" i="9"/>
  <c r="T32" i="9"/>
  <c r="T33" i="9"/>
  <c r="T31" i="9"/>
  <c r="S40" i="9"/>
  <c r="S41" i="9"/>
  <c r="S39" i="9"/>
  <c r="S36" i="9"/>
  <c r="S37" i="9"/>
  <c r="S35" i="9"/>
  <c r="R44" i="9"/>
  <c r="R45" i="9"/>
  <c r="R43" i="9"/>
  <c r="R40" i="9"/>
  <c r="R41" i="9"/>
  <c r="R39" i="9"/>
  <c r="R33" i="9"/>
  <c r="R32" i="9"/>
  <c r="AH39" i="9"/>
  <c r="R31" i="9"/>
  <c r="O28" i="9"/>
  <c r="O27" i="9"/>
  <c r="O26" i="9"/>
  <c r="O24" i="9"/>
  <c r="O23" i="9"/>
  <c r="O22" i="9"/>
  <c r="O20" i="9"/>
  <c r="O19" i="9"/>
  <c r="O18" i="9"/>
  <c r="O16" i="9"/>
  <c r="O15" i="9"/>
  <c r="O14" i="9"/>
  <c r="AE32" i="9"/>
  <c r="AE33" i="9"/>
  <c r="AE37" i="9"/>
  <c r="AE39" i="9"/>
  <c r="AE40" i="9"/>
  <c r="AE41" i="9"/>
  <c r="AE43" i="9"/>
  <c r="AD37" i="9"/>
  <c r="AD39" i="9"/>
  <c r="AD45" i="9"/>
  <c r="AD31" i="9"/>
  <c r="AJ44" i="9"/>
  <c r="AJ45" i="9"/>
  <c r="AJ43" i="9"/>
  <c r="AJ42" i="9" s="1"/>
  <c r="AJ37" i="9"/>
  <c r="AJ35" i="9"/>
  <c r="AI44" i="9"/>
  <c r="AI41" i="9"/>
  <c r="AI39" i="9"/>
  <c r="AI36" i="9"/>
  <c r="AI37" i="9"/>
  <c r="AI35" i="9"/>
  <c r="AI34" i="9" s="1"/>
  <c r="AI32" i="9"/>
  <c r="J13" i="9"/>
  <c r="AI45" i="9" s="1"/>
  <c r="I13" i="9"/>
  <c r="AC35" i="9" s="1"/>
  <c r="I21" i="9"/>
  <c r="AE35" i="9" s="1"/>
  <c r="J21" i="9"/>
  <c r="AI33" i="9" s="1"/>
  <c r="I17" i="9"/>
  <c r="AD33" i="9" s="1"/>
  <c r="J17" i="9"/>
  <c r="AJ40" i="9" s="1"/>
  <c r="R19" i="9"/>
  <c r="R24" i="9"/>
  <c r="U25" i="9"/>
  <c r="T25" i="9"/>
  <c r="S25" i="9"/>
  <c r="R25" i="9"/>
  <c r="M25" i="9"/>
  <c r="U24" i="9"/>
  <c r="T42" i="9" s="1"/>
  <c r="T24" i="9"/>
  <c r="T38" i="9" s="1"/>
  <c r="S24" i="9"/>
  <c r="T34" i="9" s="1"/>
  <c r="T30" i="9"/>
  <c r="U23" i="9"/>
  <c r="S42" i="9" s="1"/>
  <c r="T23" i="9"/>
  <c r="S38" i="9" s="1"/>
  <c r="S23" i="9"/>
  <c r="S34" i="9" s="1"/>
  <c r="R23" i="9"/>
  <c r="S30" i="9" s="1"/>
  <c r="U22" i="9"/>
  <c r="R42" i="9" s="1"/>
  <c r="T22" i="9"/>
  <c r="R38" i="9" s="1"/>
  <c r="S22" i="9"/>
  <c r="R34" i="9" s="1"/>
  <c r="R22" i="9"/>
  <c r="R30" i="9" s="1"/>
  <c r="M21" i="9"/>
  <c r="E21" i="9"/>
  <c r="G24" i="9" s="1"/>
  <c r="M17" i="9"/>
  <c r="E17" i="9"/>
  <c r="G18" i="9" s="1"/>
  <c r="M13" i="9"/>
  <c r="E13" i="9"/>
  <c r="G16" i="9" s="1"/>
  <c r="F23" i="3"/>
  <c r="G23" i="3"/>
  <c r="F24" i="3"/>
  <c r="G24" i="3"/>
  <c r="F25" i="3"/>
  <c r="G25" i="3"/>
  <c r="F27" i="3"/>
  <c r="G27" i="3"/>
  <c r="F28" i="3"/>
  <c r="G28" i="3"/>
  <c r="F29" i="3"/>
  <c r="G29" i="3"/>
  <c r="F31" i="3"/>
  <c r="G31" i="3"/>
  <c r="F32" i="3"/>
  <c r="G32" i="3"/>
  <c r="F33" i="3"/>
  <c r="G33" i="3"/>
  <c r="F35" i="3"/>
  <c r="G35" i="3"/>
  <c r="F36" i="3"/>
  <c r="G36" i="3"/>
  <c r="F37" i="3"/>
  <c r="G37" i="3"/>
  <c r="G20" i="5"/>
  <c r="G37" i="5"/>
  <c r="G40" i="5" s="1"/>
  <c r="F37" i="5"/>
  <c r="F40" i="5" s="1"/>
  <c r="D44" i="2"/>
  <c r="D46" i="2" s="1"/>
  <c r="E44" i="2"/>
  <c r="E7" i="3"/>
  <c r="F7" i="3"/>
  <c r="G7" i="3"/>
  <c r="E11" i="3"/>
  <c r="F11" i="3"/>
  <c r="G11" i="3"/>
  <c r="E15" i="3"/>
  <c r="F15" i="3"/>
  <c r="G15" i="3"/>
  <c r="E3" i="3"/>
  <c r="F3" i="3"/>
  <c r="G3" i="3"/>
  <c r="B31" i="4"/>
  <c r="J52" i="5" l="1"/>
  <c r="H40" i="5"/>
  <c r="I40" i="5" s="1"/>
  <c r="J40" i="5" s="1"/>
  <c r="K40" i="5" s="1"/>
  <c r="L40" i="5" s="1"/>
  <c r="I42" i="2"/>
  <c r="I26" i="2"/>
  <c r="J26" i="2" s="1"/>
  <c r="D23" i="6"/>
  <c r="G69" i="3"/>
  <c r="I69" i="3"/>
  <c r="I68" i="3" s="1"/>
  <c r="J68" i="3" s="1"/>
  <c r="K68" i="3" s="1"/>
  <c r="L68" i="3" s="1"/>
  <c r="M68" i="3" s="1"/>
  <c r="H3" i="3"/>
  <c r="H22" i="3" s="1"/>
  <c r="H15" i="3"/>
  <c r="H34" i="3" s="1"/>
  <c r="H11" i="3"/>
  <c r="H30" i="3" s="1"/>
  <c r="H7" i="3"/>
  <c r="H26" i="3" s="1"/>
  <c r="F19" i="3"/>
  <c r="E19" i="3"/>
  <c r="G19" i="3"/>
  <c r="F22" i="3"/>
  <c r="H56" i="5"/>
  <c r="F41" i="5"/>
  <c r="G41" i="5"/>
  <c r="AC44" i="9"/>
  <c r="AC32" i="9"/>
  <c r="AC43" i="9"/>
  <c r="AC41" i="9"/>
  <c r="AC40" i="9"/>
  <c r="AE38" i="9"/>
  <c r="AC39" i="9"/>
  <c r="AF37" i="9"/>
  <c r="AE14" i="9" s="1"/>
  <c r="C10" i="3" s="1"/>
  <c r="AC37" i="9"/>
  <c r="AD36" i="9"/>
  <c r="AC36" i="9"/>
  <c r="AD35" i="9"/>
  <c r="AD34" i="9" s="1"/>
  <c r="AC33" i="9"/>
  <c r="AF33" i="9" s="1"/>
  <c r="AE10" i="9" s="1"/>
  <c r="C6" i="3" s="1"/>
  <c r="AE44" i="9"/>
  <c r="AH41" i="9"/>
  <c r="AK41" i="9" s="1"/>
  <c r="AF18" i="9" s="1"/>
  <c r="D14" i="3" s="1"/>
  <c r="E33" i="3" s="1"/>
  <c r="AI43" i="9"/>
  <c r="AI42" i="9" s="1"/>
  <c r="AH31" i="9"/>
  <c r="AH40" i="9"/>
  <c r="AH33" i="9"/>
  <c r="AK33" i="9" s="1"/>
  <c r="AF10" i="9" s="1"/>
  <c r="D6" i="3" s="1"/>
  <c r="AH43" i="9"/>
  <c r="AH32" i="9"/>
  <c r="AK32" i="9" s="1"/>
  <c r="AF9" i="9" s="1"/>
  <c r="D5" i="3" s="1"/>
  <c r="AH45" i="9"/>
  <c r="AK45" i="9" s="1"/>
  <c r="AF22" i="9" s="1"/>
  <c r="D18" i="3" s="1"/>
  <c r="AJ36" i="9"/>
  <c r="AJ34" i="9" s="1"/>
  <c r="AJ31" i="9"/>
  <c r="AH35" i="9"/>
  <c r="AH44" i="9"/>
  <c r="AK44" i="9" s="1"/>
  <c r="AF21" i="9" s="1"/>
  <c r="D17" i="3" s="1"/>
  <c r="AJ39" i="9"/>
  <c r="AJ38" i="9" s="1"/>
  <c r="AJ32" i="9"/>
  <c r="AH37" i="9"/>
  <c r="AK37" i="9" s="1"/>
  <c r="AF14" i="9" s="1"/>
  <c r="D10" i="3" s="1"/>
  <c r="AI31" i="9"/>
  <c r="AI30" i="9" s="1"/>
  <c r="AI40" i="9"/>
  <c r="AI38" i="9" s="1"/>
  <c r="AJ41" i="9"/>
  <c r="AJ33" i="9"/>
  <c r="AH36" i="9"/>
  <c r="AC34" i="9"/>
  <c r="AD43" i="9"/>
  <c r="AD32" i="9"/>
  <c r="AD41" i="9"/>
  <c r="AD38" i="9" s="1"/>
  <c r="AE31" i="9"/>
  <c r="AE36" i="9"/>
  <c r="AF36" i="9" s="1"/>
  <c r="AE13" i="9" s="1"/>
  <c r="C9" i="3" s="1"/>
  <c r="AC45" i="9"/>
  <c r="AD40" i="9"/>
  <c r="AE45" i="9"/>
  <c r="AD44" i="9"/>
  <c r="V41" i="9"/>
  <c r="W37" i="9"/>
  <c r="X35" i="9"/>
  <c r="G23" i="9"/>
  <c r="W40" i="9" s="1"/>
  <c r="X45" i="9"/>
  <c r="X44" i="9"/>
  <c r="V33" i="9"/>
  <c r="X43" i="9"/>
  <c r="W31" i="9"/>
  <c r="W45" i="9"/>
  <c r="G19" i="9"/>
  <c r="X40" i="9" s="1"/>
  <c r="V37" i="9"/>
  <c r="W44" i="9"/>
  <c r="W33" i="9"/>
  <c r="G20" i="9"/>
  <c r="X33" i="9" s="1"/>
  <c r="V36" i="9"/>
  <c r="W43" i="9"/>
  <c r="W32" i="9"/>
  <c r="G22" i="9"/>
  <c r="W35" i="9" s="1"/>
  <c r="V45" i="9"/>
  <c r="V35" i="9"/>
  <c r="W41" i="9"/>
  <c r="X31" i="9"/>
  <c r="M30" i="9"/>
  <c r="N25" i="9" s="1"/>
  <c r="G14" i="9"/>
  <c r="V31" i="9" s="1"/>
  <c r="G15" i="9"/>
  <c r="V40" i="9" s="1"/>
  <c r="E26" i="9"/>
  <c r="G34" i="3"/>
  <c r="G26" i="3"/>
  <c r="F34" i="3"/>
  <c r="G22" i="3"/>
  <c r="F26" i="3"/>
  <c r="G30" i="3"/>
  <c r="F30" i="3"/>
  <c r="K52" i="5" l="1"/>
  <c r="J42" i="2"/>
  <c r="D19" i="6"/>
  <c r="K26" i="2"/>
  <c r="E23" i="6"/>
  <c r="I56" i="5"/>
  <c r="H18" i="5"/>
  <c r="G21" i="5"/>
  <c r="G18" i="5"/>
  <c r="F21" i="5"/>
  <c r="D29" i="3"/>
  <c r="AK36" i="9"/>
  <c r="AF13" i="9" s="1"/>
  <c r="D9" i="3" s="1"/>
  <c r="AJ30" i="9"/>
  <c r="AK40" i="9"/>
  <c r="AF17" i="9" s="1"/>
  <c r="D13" i="3" s="1"/>
  <c r="E32" i="3" s="1"/>
  <c r="D28" i="3"/>
  <c r="E28" i="3"/>
  <c r="E29" i="3"/>
  <c r="AF35" i="9"/>
  <c r="AE12" i="9" s="1"/>
  <c r="AC38" i="9"/>
  <c r="AF38" i="9" s="1"/>
  <c r="E36" i="3"/>
  <c r="E37" i="3"/>
  <c r="AC42" i="9"/>
  <c r="AF42" i="9" s="1"/>
  <c r="AF41" i="9"/>
  <c r="AE18" i="9" s="1"/>
  <c r="C14" i="3" s="1"/>
  <c r="D33" i="3" s="1"/>
  <c r="E24" i="3"/>
  <c r="D25" i="3"/>
  <c r="AF32" i="9"/>
  <c r="AE9" i="9" s="1"/>
  <c r="C5" i="3" s="1"/>
  <c r="D24" i="3" s="1"/>
  <c r="E25" i="3"/>
  <c r="AC30" i="9"/>
  <c r="AE42" i="9"/>
  <c r="AF44" i="9"/>
  <c r="AE21" i="9" s="1"/>
  <c r="C17" i="3" s="1"/>
  <c r="D36" i="3" s="1"/>
  <c r="AF40" i="9"/>
  <c r="AE17" i="9" s="1"/>
  <c r="C13" i="3" s="1"/>
  <c r="AF39" i="9"/>
  <c r="AE16" i="9" s="1"/>
  <c r="AK35" i="9"/>
  <c r="AH34" i="9"/>
  <c r="AK31" i="9"/>
  <c r="AF8" i="9" s="1"/>
  <c r="AH30" i="9"/>
  <c r="AK30" i="9" s="1"/>
  <c r="AK39" i="9"/>
  <c r="AF16" i="9" s="1"/>
  <c r="AH38" i="9"/>
  <c r="AK38" i="9" s="1"/>
  <c r="AH42" i="9"/>
  <c r="AK42" i="9" s="1"/>
  <c r="AK43" i="9"/>
  <c r="AF20" i="9" s="1"/>
  <c r="AF45" i="9"/>
  <c r="AE22" i="9" s="1"/>
  <c r="C18" i="3" s="1"/>
  <c r="D37" i="3" s="1"/>
  <c r="AE34" i="9"/>
  <c r="AF34" i="9" s="1"/>
  <c r="AF31" i="9"/>
  <c r="AE8" i="9" s="1"/>
  <c r="AE30" i="9"/>
  <c r="AF30" i="9" s="1"/>
  <c r="AD30" i="9"/>
  <c r="AD42" i="9"/>
  <c r="AF43" i="9"/>
  <c r="AE20" i="9" s="1"/>
  <c r="Y45" i="9"/>
  <c r="X37" i="9"/>
  <c r="Y37" i="9" s="1"/>
  <c r="X32" i="9"/>
  <c r="X30" i="9" s="1"/>
  <c r="W39" i="9"/>
  <c r="W38" i="9" s="1"/>
  <c r="Y33" i="9"/>
  <c r="X42" i="9"/>
  <c r="V44" i="9"/>
  <c r="Y44" i="9" s="1"/>
  <c r="V32" i="9"/>
  <c r="W30" i="9"/>
  <c r="Y40" i="9"/>
  <c r="W42" i="9"/>
  <c r="V34" i="9"/>
  <c r="X41" i="9"/>
  <c r="Y41" i="9" s="1"/>
  <c r="V39" i="9"/>
  <c r="V38" i="9" s="1"/>
  <c r="W36" i="9"/>
  <c r="W34" i="9" s="1"/>
  <c r="Y31" i="9"/>
  <c r="X36" i="9"/>
  <c r="Y35" i="9"/>
  <c r="X39" i="9"/>
  <c r="F20" i="9"/>
  <c r="F21" i="9"/>
  <c r="F14" i="9"/>
  <c r="F22" i="9"/>
  <c r="F16" i="9"/>
  <c r="F24" i="9"/>
  <c r="F17" i="9"/>
  <c r="F15" i="9"/>
  <c r="F23" i="9"/>
  <c r="F13" i="9"/>
  <c r="F18" i="9"/>
  <c r="F19" i="9"/>
  <c r="N16" i="9"/>
  <c r="N24" i="9"/>
  <c r="N18" i="9"/>
  <c r="N26" i="9"/>
  <c r="N14" i="9"/>
  <c r="N15" i="9"/>
  <c r="N28" i="9"/>
  <c r="N19" i="9"/>
  <c r="N27" i="9"/>
  <c r="N20" i="9"/>
  <c r="N13" i="9"/>
  <c r="N22" i="9"/>
  <c r="N23" i="9"/>
  <c r="N21" i="9"/>
  <c r="N17" i="9"/>
  <c r="L52" i="5" l="1"/>
  <c r="K42" i="2"/>
  <c r="E19" i="6"/>
  <c r="L26" i="2"/>
  <c r="G23" i="6" s="1"/>
  <c r="F23" i="6"/>
  <c r="D32" i="3"/>
  <c r="J56" i="5"/>
  <c r="G19" i="5"/>
  <c r="AK34" i="9"/>
  <c r="AF12" i="9"/>
  <c r="AE11" i="9"/>
  <c r="C7" i="3" s="1"/>
  <c r="C8" i="3"/>
  <c r="D16" i="3"/>
  <c r="E35" i="3" s="1"/>
  <c r="AF19" i="9"/>
  <c r="D15" i="3" s="1"/>
  <c r="AE19" i="9"/>
  <c r="C15" i="3" s="1"/>
  <c r="C16" i="3"/>
  <c r="AF15" i="9"/>
  <c r="D11" i="3" s="1"/>
  <c r="D12" i="3"/>
  <c r="E31" i="3" s="1"/>
  <c r="AE15" i="9"/>
  <c r="C11" i="3" s="1"/>
  <c r="C12" i="3"/>
  <c r="AF7" i="9"/>
  <c r="D4" i="3"/>
  <c r="E23" i="3" s="1"/>
  <c r="C4" i="3"/>
  <c r="AE7" i="9"/>
  <c r="AF47" i="9"/>
  <c r="AK47" i="9"/>
  <c r="Y32" i="9"/>
  <c r="Y39" i="9"/>
  <c r="V30" i="9"/>
  <c r="Y30" i="9" s="1"/>
  <c r="Y36" i="9"/>
  <c r="S48" i="9"/>
  <c r="R48" i="9"/>
  <c r="V43" i="9"/>
  <c r="X38" i="9"/>
  <c r="Y38" i="9" s="1"/>
  <c r="T48" i="9"/>
  <c r="X34" i="9"/>
  <c r="Y34" i="9" s="1"/>
  <c r="L42" i="2" l="1"/>
  <c r="G19" i="6" s="1"/>
  <c r="F19" i="6"/>
  <c r="D35" i="3"/>
  <c r="D23" i="3"/>
  <c r="K56" i="5"/>
  <c r="AF11" i="9"/>
  <c r="D7" i="3" s="1"/>
  <c r="D8" i="3"/>
  <c r="E27" i="3" s="1"/>
  <c r="D27" i="3"/>
  <c r="D31" i="3"/>
  <c r="D34" i="3"/>
  <c r="E34" i="3"/>
  <c r="D30" i="3"/>
  <c r="E30" i="3"/>
  <c r="C3" i="3"/>
  <c r="AE23" i="9"/>
  <c r="C19" i="3" s="1"/>
  <c r="AF23" i="9"/>
  <c r="D19" i="3" s="1"/>
  <c r="D3" i="3"/>
  <c r="V42" i="9"/>
  <c r="Y42" i="9" s="1"/>
  <c r="Y47" i="9" s="1"/>
  <c r="Z39" i="9" s="1"/>
  <c r="Y43" i="9"/>
  <c r="L56" i="5" l="1"/>
  <c r="D26" i="3"/>
  <c r="E26" i="3"/>
  <c r="Z45" i="9"/>
  <c r="Z37" i="9"/>
  <c r="Z34" i="9"/>
  <c r="Z33" i="9"/>
  <c r="Z43" i="9"/>
  <c r="Z42" i="9"/>
  <c r="Z32" i="9"/>
  <c r="Z40" i="9"/>
  <c r="Z44" i="9"/>
  <c r="Z36" i="9"/>
  <c r="Z31" i="9"/>
  <c r="Z38" i="9"/>
  <c r="D22" i="3"/>
  <c r="E22" i="3"/>
  <c r="Z41" i="9"/>
  <c r="Z35" i="9"/>
  <c r="Z30" i="9"/>
  <c r="I11" i="3" l="1"/>
  <c r="I30" i="3" s="1"/>
  <c r="I7" i="3"/>
  <c r="I26" i="3" s="1"/>
  <c r="I3" i="3"/>
  <c r="I22" i="3" s="1"/>
  <c r="I15" i="3" l="1"/>
  <c r="I34" i="3" s="1"/>
  <c r="J11" i="3"/>
  <c r="J30" i="3" s="1"/>
  <c r="J7" i="3"/>
  <c r="J26" i="3" s="1"/>
  <c r="J3" i="3"/>
  <c r="J22" i="3" s="1"/>
  <c r="H19" i="3"/>
  <c r="H61" i="5" s="1"/>
  <c r="C7" i="6" s="1"/>
  <c r="J15" i="3" l="1"/>
  <c r="J34" i="3" s="1"/>
  <c r="L11" i="3"/>
  <c r="K11" i="3"/>
  <c r="K30" i="3" s="1"/>
  <c r="L7" i="3"/>
  <c r="K7" i="3"/>
  <c r="K26" i="3" s="1"/>
  <c r="L3" i="3"/>
  <c r="K3" i="3"/>
  <c r="K22" i="3" s="1"/>
  <c r="G28" i="4"/>
  <c r="H4" i="1"/>
  <c r="I19" i="3"/>
  <c r="I61" i="5" s="1"/>
  <c r="D7" i="6" s="1"/>
  <c r="L15" i="3" l="1"/>
  <c r="K15" i="3"/>
  <c r="K34" i="3" s="1"/>
  <c r="L30" i="3"/>
  <c r="L26" i="3"/>
  <c r="L22" i="3"/>
  <c r="H28" i="4"/>
  <c r="I4" i="1"/>
  <c r="J19" i="3"/>
  <c r="J61" i="5" s="1"/>
  <c r="E7" i="6" s="1"/>
  <c r="G5" i="4"/>
  <c r="L34" i="3" l="1"/>
  <c r="H9" i="1"/>
  <c r="L19" i="3"/>
  <c r="L61" i="5" s="1"/>
  <c r="G7" i="6" s="1"/>
  <c r="K19" i="3"/>
  <c r="K61" i="5" s="1"/>
  <c r="F7" i="6" s="1"/>
  <c r="J4" i="1"/>
  <c r="I28" i="4"/>
  <c r="H5" i="4"/>
  <c r="I5" i="4" l="1"/>
  <c r="K28" i="4"/>
  <c r="L4" i="1"/>
  <c r="K4" i="1"/>
  <c r="J28" i="4"/>
  <c r="I9" i="1"/>
  <c r="K5" i="4" l="1"/>
  <c r="J5" i="4"/>
  <c r="J9" i="1"/>
  <c r="K9" i="1" l="1"/>
  <c r="L9" i="1"/>
  <c r="B15" i="4" l="1"/>
  <c r="C15" i="4"/>
  <c r="D15" i="4"/>
  <c r="E15" i="4"/>
  <c r="F15" i="4"/>
  <c r="G15" i="4" s="1"/>
  <c r="H15" i="4" s="1"/>
  <c r="I15" i="4" s="1"/>
  <c r="J15" i="4" s="1"/>
  <c r="K15" i="4" s="1"/>
  <c r="C14" i="4"/>
  <c r="D14" i="4"/>
  <c r="E14" i="4"/>
  <c r="F14" i="4"/>
  <c r="B14" i="4"/>
  <c r="B25" i="4" s="1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G8" i="4" s="1"/>
  <c r="B9" i="4"/>
  <c r="C9" i="4"/>
  <c r="D9" i="4"/>
  <c r="E9" i="4"/>
  <c r="F9" i="4"/>
  <c r="B10" i="4"/>
  <c r="C10" i="4"/>
  <c r="D10" i="4"/>
  <c r="E10" i="4"/>
  <c r="F10" i="4"/>
  <c r="C5" i="4"/>
  <c r="D5" i="4"/>
  <c r="E5" i="4"/>
  <c r="F5" i="4"/>
  <c r="B5" i="4"/>
  <c r="D22" i="1"/>
  <c r="C16" i="4" s="1"/>
  <c r="C18" i="4" s="1"/>
  <c r="E22" i="1"/>
  <c r="D16" i="4" s="1"/>
  <c r="D18" i="4" s="1"/>
  <c r="F22" i="1"/>
  <c r="E16" i="4" s="1"/>
  <c r="E18" i="4" s="1"/>
  <c r="G22" i="1"/>
  <c r="F16" i="4" s="1"/>
  <c r="F18" i="4" s="1"/>
  <c r="C22" i="1"/>
  <c r="B16" i="4" s="1"/>
  <c r="B18" i="4" s="1"/>
  <c r="D15" i="1"/>
  <c r="E15" i="1"/>
  <c r="F15" i="1"/>
  <c r="G15" i="1"/>
  <c r="C15" i="1"/>
  <c r="G9" i="4" l="1"/>
  <c r="H13" i="1" s="1"/>
  <c r="G44" i="5"/>
  <c r="G46" i="5"/>
  <c r="G48" i="5"/>
  <c r="H8" i="4"/>
  <c r="H12" i="1"/>
  <c r="D46" i="5"/>
  <c r="D48" i="5"/>
  <c r="D44" i="5"/>
  <c r="G7" i="4"/>
  <c r="H11" i="1" s="1"/>
  <c r="F44" i="5"/>
  <c r="F46" i="5"/>
  <c r="F48" i="5"/>
  <c r="E46" i="5"/>
  <c r="E48" i="5"/>
  <c r="E44" i="5"/>
  <c r="G10" i="4"/>
  <c r="H14" i="1" s="1"/>
  <c r="C44" i="5"/>
  <c r="C46" i="5"/>
  <c r="C48" i="5"/>
  <c r="D5" i="1"/>
  <c r="E5" i="1"/>
  <c r="F5" i="1"/>
  <c r="G5" i="1"/>
  <c r="I71" i="1" s="1"/>
  <c r="C5" i="1"/>
  <c r="H71" i="1" s="1"/>
  <c r="B9" i="8"/>
  <c r="C9" i="8" s="1"/>
  <c r="J11" i="8"/>
  <c r="C2" i="8"/>
  <c r="D2" i="8" s="1"/>
  <c r="E2" i="8" s="1"/>
  <c r="F2" i="8" s="1"/>
  <c r="C15" i="7"/>
  <c r="C16" i="7"/>
  <c r="C17" i="7"/>
  <c r="C18" i="7"/>
  <c r="C14" i="7"/>
  <c r="E13" i="7"/>
  <c r="F13" i="7"/>
  <c r="G13" i="7" s="1"/>
  <c r="H13" i="7" s="1"/>
  <c r="D13" i="7"/>
  <c r="H2" i="7"/>
  <c r="D2" i="7"/>
  <c r="E2" i="7" s="1"/>
  <c r="F2" i="7" s="1"/>
  <c r="G2" i="7" s="1"/>
  <c r="H9" i="4" l="1"/>
  <c r="I13" i="1" s="1"/>
  <c r="D9" i="8"/>
  <c r="E9" i="8" s="1"/>
  <c r="F9" i="8" s="1"/>
  <c r="H46" i="5"/>
  <c r="H44" i="5"/>
  <c r="H10" i="4"/>
  <c r="I14" i="1" s="1"/>
  <c r="C13" i="5"/>
  <c r="C9" i="5"/>
  <c r="C15" i="5"/>
  <c r="C54" i="5"/>
  <c r="C5" i="5"/>
  <c r="C50" i="5"/>
  <c r="C11" i="5"/>
  <c r="C42" i="3"/>
  <c r="C7" i="5"/>
  <c r="B28" i="4"/>
  <c r="H48" i="5"/>
  <c r="F9" i="5"/>
  <c r="F54" i="5"/>
  <c r="F15" i="5"/>
  <c r="F28" i="5"/>
  <c r="F5" i="5"/>
  <c r="F50" i="5"/>
  <c r="F11" i="5"/>
  <c r="F36" i="5"/>
  <c r="F26" i="5"/>
  <c r="F42" i="3"/>
  <c r="F34" i="5"/>
  <c r="F7" i="5"/>
  <c r="E28" i="4"/>
  <c r="F13" i="5"/>
  <c r="F30" i="5"/>
  <c r="F32" i="5"/>
  <c r="F24" i="5"/>
  <c r="E54" i="5"/>
  <c r="E5" i="5"/>
  <c r="D28" i="4"/>
  <c r="E50" i="5"/>
  <c r="E11" i="5"/>
  <c r="E42" i="3"/>
  <c r="E7" i="5"/>
  <c r="E13" i="5"/>
  <c r="E9" i="5"/>
  <c r="E15" i="5"/>
  <c r="G9" i="5"/>
  <c r="G32" i="5"/>
  <c r="G28" i="5"/>
  <c r="G15" i="5"/>
  <c r="G34" i="5"/>
  <c r="G54" i="5"/>
  <c r="G36" i="5"/>
  <c r="G26" i="5"/>
  <c r="G5" i="5"/>
  <c r="G50" i="5"/>
  <c r="G11" i="5"/>
  <c r="G24" i="5"/>
  <c r="G42" i="3"/>
  <c r="G7" i="5"/>
  <c r="F28" i="4"/>
  <c r="G13" i="5"/>
  <c r="G30" i="5"/>
  <c r="D5" i="5"/>
  <c r="D11" i="5"/>
  <c r="D50" i="5"/>
  <c r="C28" i="4"/>
  <c r="D42" i="3"/>
  <c r="D7" i="5"/>
  <c r="D13" i="5"/>
  <c r="D9" i="5"/>
  <c r="D54" i="5"/>
  <c r="D15" i="5"/>
  <c r="H7" i="4"/>
  <c r="I11" i="1" s="1"/>
  <c r="I8" i="4"/>
  <c r="I12" i="1"/>
  <c r="I9" i="4"/>
  <c r="J13" i="1" s="1"/>
  <c r="D2" i="6"/>
  <c r="E2" i="6" s="1"/>
  <c r="F2" i="6" s="1"/>
  <c r="G2" i="6" s="1"/>
  <c r="D72" i="5"/>
  <c r="E72" i="5"/>
  <c r="F72" i="5"/>
  <c r="G72" i="5"/>
  <c r="C72" i="5"/>
  <c r="C70" i="5"/>
  <c r="D66" i="5" s="1"/>
  <c r="D70" i="5"/>
  <c r="E66" i="5" s="1"/>
  <c r="E70" i="5"/>
  <c r="F66" i="5" s="1"/>
  <c r="F70" i="5"/>
  <c r="G66" i="5" s="1"/>
  <c r="G70" i="5"/>
  <c r="H66" i="5" s="1"/>
  <c r="C62" i="5"/>
  <c r="D60" i="5" s="1"/>
  <c r="D62" i="5"/>
  <c r="E60" i="5" s="1"/>
  <c r="E62" i="5"/>
  <c r="F60" i="5" s="1"/>
  <c r="F62" i="5"/>
  <c r="G60" i="5" s="1"/>
  <c r="G62" i="5"/>
  <c r="H60" i="5" s="1"/>
  <c r="H62" i="5" s="1"/>
  <c r="D16" i="5" l="1"/>
  <c r="H36" i="5"/>
  <c r="H5" i="5"/>
  <c r="I10" i="4"/>
  <c r="J10" i="4" s="1"/>
  <c r="K14" i="1" s="1"/>
  <c r="J9" i="4"/>
  <c r="K13" i="1" s="1"/>
  <c r="H11" i="5"/>
  <c r="I11" i="5" s="1"/>
  <c r="J11" i="5" s="1"/>
  <c r="K11" i="5" s="1"/>
  <c r="L11" i="5" s="1"/>
  <c r="F16" i="5"/>
  <c r="H72" i="5"/>
  <c r="I72" i="5" s="1"/>
  <c r="J72" i="5" s="1"/>
  <c r="K72" i="5" s="1"/>
  <c r="L72" i="5" s="1"/>
  <c r="H34" i="5"/>
  <c r="H54" i="5"/>
  <c r="H24" i="5"/>
  <c r="I7" i="4"/>
  <c r="J11" i="1" s="1"/>
  <c r="H41" i="2"/>
  <c r="I44" i="5"/>
  <c r="I46" i="5"/>
  <c r="I48" i="5"/>
  <c r="I34" i="5"/>
  <c r="J34" i="5" s="1"/>
  <c r="F46" i="3"/>
  <c r="F45" i="3"/>
  <c r="F43" i="3"/>
  <c r="F44" i="3"/>
  <c r="H26" i="5"/>
  <c r="H50" i="5"/>
  <c r="C46" i="3"/>
  <c r="C45" i="3"/>
  <c r="C44" i="3"/>
  <c r="C43" i="3"/>
  <c r="E45" i="3"/>
  <c r="E46" i="3"/>
  <c r="E44" i="3"/>
  <c r="E43" i="3"/>
  <c r="H32" i="5"/>
  <c r="F23" i="4"/>
  <c r="F24" i="4"/>
  <c r="I36" i="5"/>
  <c r="J36" i="5" s="1"/>
  <c r="D23" i="4"/>
  <c r="D24" i="4"/>
  <c r="H30" i="5"/>
  <c r="J8" i="4"/>
  <c r="J12" i="1"/>
  <c r="C24" i="4"/>
  <c r="C23" i="4"/>
  <c r="G45" i="3"/>
  <c r="G46" i="3"/>
  <c r="G44" i="3"/>
  <c r="G43" i="3"/>
  <c r="E23" i="4"/>
  <c r="E24" i="4"/>
  <c r="B23" i="4"/>
  <c r="B24" i="4"/>
  <c r="H9" i="5"/>
  <c r="D46" i="3"/>
  <c r="D45" i="3"/>
  <c r="D43" i="3"/>
  <c r="D44" i="3"/>
  <c r="E16" i="5"/>
  <c r="G16" i="5"/>
  <c r="H28" i="5"/>
  <c r="I28" i="5" s="1"/>
  <c r="H7" i="5"/>
  <c r="H13" i="5"/>
  <c r="I60" i="5"/>
  <c r="I62" i="5" s="1"/>
  <c r="D2" i="5"/>
  <c r="E2" i="5" s="1"/>
  <c r="F2" i="5" s="1"/>
  <c r="G2" i="5" s="1"/>
  <c r="H2" i="5" s="1"/>
  <c r="I2" i="5" s="1"/>
  <c r="J2" i="5" s="1"/>
  <c r="K2" i="5" s="1"/>
  <c r="L2" i="5" s="1"/>
  <c r="H27" i="1"/>
  <c r="I27" i="1" s="1"/>
  <c r="J27" i="1" s="1"/>
  <c r="K27" i="1" s="1"/>
  <c r="L27" i="1" s="1"/>
  <c r="D2" i="1"/>
  <c r="E2" i="1" s="1"/>
  <c r="F2" i="1" s="1"/>
  <c r="G2" i="1" s="1"/>
  <c r="H2" i="1" s="1"/>
  <c r="I2" i="1" s="1"/>
  <c r="J2" i="1" s="1"/>
  <c r="K2" i="1" s="1"/>
  <c r="L2" i="1" s="1"/>
  <c r="D2" i="2"/>
  <c r="E2" i="2" s="1"/>
  <c r="F2" i="2" s="1"/>
  <c r="G2" i="2" s="1"/>
  <c r="H2" i="2" s="1"/>
  <c r="I2" i="2" s="1"/>
  <c r="J2" i="2" s="1"/>
  <c r="K2" i="2" s="1"/>
  <c r="L2" i="2" s="1"/>
  <c r="J14" i="1" l="1"/>
  <c r="K9" i="4"/>
  <c r="L13" i="1" s="1"/>
  <c r="I24" i="5"/>
  <c r="J24" i="5" s="1"/>
  <c r="K24" i="5" s="1"/>
  <c r="L24" i="5" s="1"/>
  <c r="J7" i="4"/>
  <c r="I41" i="2"/>
  <c r="I9" i="5"/>
  <c r="I50" i="5"/>
  <c r="I7" i="5"/>
  <c r="J48" i="5"/>
  <c r="J44" i="5"/>
  <c r="I54" i="5"/>
  <c r="J46" i="5"/>
  <c r="H16" i="5"/>
  <c r="H15" i="5" s="1"/>
  <c r="I15" i="5" s="1"/>
  <c r="J15" i="5" s="1"/>
  <c r="K15" i="5" s="1"/>
  <c r="L15" i="5" s="1"/>
  <c r="I13" i="5"/>
  <c r="I5" i="5"/>
  <c r="J32" i="5"/>
  <c r="K34" i="5"/>
  <c r="L34" i="5" s="1"/>
  <c r="I26" i="5"/>
  <c r="J26" i="5" s="1"/>
  <c r="I32" i="5"/>
  <c r="I30" i="5"/>
  <c r="J28" i="5"/>
  <c r="G24" i="4"/>
  <c r="K8" i="4"/>
  <c r="L12" i="1" s="1"/>
  <c r="K12" i="1"/>
  <c r="K36" i="5"/>
  <c r="L36" i="5" s="1"/>
  <c r="K10" i="4"/>
  <c r="L14" i="1" s="1"/>
  <c r="J60" i="5"/>
  <c r="J62" i="5" s="1"/>
  <c r="E31" i="4"/>
  <c r="E25" i="4" s="1"/>
  <c r="F31" i="4"/>
  <c r="F25" i="4" s="1"/>
  <c r="D31" i="4"/>
  <c r="D25" i="4" s="1"/>
  <c r="C31" i="4"/>
  <c r="C11" i="4"/>
  <c r="D11" i="4"/>
  <c r="E11" i="4"/>
  <c r="F11" i="4"/>
  <c r="B11" i="4"/>
  <c r="B20" i="4" s="1"/>
  <c r="E46" i="2"/>
  <c r="F44" i="2"/>
  <c r="F46" i="2" s="1"/>
  <c r="G44" i="2"/>
  <c r="G46" i="2" s="1"/>
  <c r="C44" i="2"/>
  <c r="C46" i="2" s="1"/>
  <c r="D36" i="2"/>
  <c r="D48" i="2" s="1"/>
  <c r="E29" i="2"/>
  <c r="E36" i="2" s="1"/>
  <c r="F29" i="2"/>
  <c r="F36" i="2" s="1"/>
  <c r="G36" i="2"/>
  <c r="C36" i="2"/>
  <c r="G10" i="2"/>
  <c r="G18" i="2" s="1"/>
  <c r="F10" i="2"/>
  <c r="F18" i="2" s="1"/>
  <c r="E10" i="2"/>
  <c r="E18" i="2" s="1"/>
  <c r="D10" i="2"/>
  <c r="D18" i="2" s="1"/>
  <c r="C10" i="2"/>
  <c r="C18" i="2" s="1"/>
  <c r="E6" i="1"/>
  <c r="F6" i="1"/>
  <c r="G6" i="1"/>
  <c r="D6" i="1"/>
  <c r="G31" i="4" l="1"/>
  <c r="H31" i="4" s="1"/>
  <c r="I31" i="4" s="1"/>
  <c r="J31" i="4" s="1"/>
  <c r="K31" i="4" s="1"/>
  <c r="C25" i="4"/>
  <c r="G25" i="4" s="1"/>
  <c r="K11" i="1"/>
  <c r="K7" i="4"/>
  <c r="L11" i="1" s="1"/>
  <c r="J41" i="2"/>
  <c r="J54" i="5"/>
  <c r="K48" i="5"/>
  <c r="J5" i="5"/>
  <c r="K44" i="5"/>
  <c r="J50" i="5"/>
  <c r="J7" i="5"/>
  <c r="J13" i="5"/>
  <c r="K46" i="5"/>
  <c r="J9" i="5"/>
  <c r="L26" i="5"/>
  <c r="J30" i="5"/>
  <c r="K32" i="5"/>
  <c r="L32" i="5" s="1"/>
  <c r="H24" i="4"/>
  <c r="G6" i="4"/>
  <c r="K26" i="5"/>
  <c r="K28" i="5"/>
  <c r="L28" i="5" s="1"/>
  <c r="K60" i="5"/>
  <c r="K62" i="5" s="1"/>
  <c r="G48" i="2"/>
  <c r="G52" i="2" s="1"/>
  <c r="F48" i="2"/>
  <c r="F52" i="2" s="1"/>
  <c r="C48" i="2"/>
  <c r="C52" i="2" s="1"/>
  <c r="E48" i="2"/>
  <c r="E52" i="2" s="1"/>
  <c r="D52" i="2"/>
  <c r="C20" i="4"/>
  <c r="G73" i="5"/>
  <c r="G64" i="5"/>
  <c r="E73" i="5"/>
  <c r="E64" i="5"/>
  <c r="F64" i="5"/>
  <c r="F73" i="5"/>
  <c r="D73" i="5"/>
  <c r="D64" i="5"/>
  <c r="E20" i="4"/>
  <c r="E16" i="1"/>
  <c r="C16" i="1"/>
  <c r="D16" i="1"/>
  <c r="G16" i="1"/>
  <c r="F16" i="1"/>
  <c r="F20" i="4"/>
  <c r="D20" i="4"/>
  <c r="H21" i="1"/>
  <c r="D17" i="1" l="1"/>
  <c r="D61" i="1"/>
  <c r="K45" i="1"/>
  <c r="E61" i="1"/>
  <c r="L45" i="1"/>
  <c r="C17" i="1"/>
  <c r="J45" i="1"/>
  <c r="C61" i="1"/>
  <c r="F61" i="1"/>
  <c r="M45" i="1"/>
  <c r="C26" i="7"/>
  <c r="N45" i="1"/>
  <c r="G61" i="1"/>
  <c r="H25" i="4"/>
  <c r="G14" i="4"/>
  <c r="G16" i="4" s="1"/>
  <c r="K41" i="2"/>
  <c r="K9" i="5"/>
  <c r="K7" i="5"/>
  <c r="L46" i="5"/>
  <c r="K50" i="5"/>
  <c r="L48" i="5"/>
  <c r="K13" i="5"/>
  <c r="K5" i="5"/>
  <c r="L44" i="5"/>
  <c r="K54" i="5"/>
  <c r="G17" i="1"/>
  <c r="G18" i="1"/>
  <c r="E23" i="1"/>
  <c r="E18" i="1"/>
  <c r="H10" i="1"/>
  <c r="G11" i="4"/>
  <c r="I24" i="4"/>
  <c r="H6" i="4"/>
  <c r="F23" i="1"/>
  <c r="F26" i="1" s="1"/>
  <c r="F28" i="1" s="1"/>
  <c r="F50" i="1" s="1"/>
  <c r="F54" i="1" s="1"/>
  <c r="F18" i="1"/>
  <c r="K30" i="5"/>
  <c r="L30" i="5" s="1"/>
  <c r="L60" i="5"/>
  <c r="L62" i="5" s="1"/>
  <c r="L41" i="2" s="1"/>
  <c r="D33" i="4"/>
  <c r="D26" i="4" s="1"/>
  <c r="L46" i="1" s="1"/>
  <c r="L47" i="1" s="1"/>
  <c r="L54" i="1" s="1"/>
  <c r="E26" i="1"/>
  <c r="E28" i="1" s="1"/>
  <c r="E50" i="1" s="1"/>
  <c r="E54" i="1" s="1"/>
  <c r="F17" i="1"/>
  <c r="E17" i="1"/>
  <c r="G23" i="1"/>
  <c r="C23" i="1"/>
  <c r="D23" i="1"/>
  <c r="I21" i="1"/>
  <c r="H5" i="1"/>
  <c r="G33" i="4" l="1"/>
  <c r="I25" i="4"/>
  <c r="H14" i="4"/>
  <c r="H16" i="4" s="1"/>
  <c r="H42" i="3"/>
  <c r="H43" i="3" s="1"/>
  <c r="H7" i="2"/>
  <c r="C12" i="6" s="1"/>
  <c r="H8" i="2"/>
  <c r="H25" i="2"/>
  <c r="C18" i="6" s="1"/>
  <c r="L50" i="5"/>
  <c r="L5" i="5"/>
  <c r="L54" i="5"/>
  <c r="L13" i="5"/>
  <c r="L7" i="5"/>
  <c r="L9" i="5"/>
  <c r="H44" i="3"/>
  <c r="H45" i="3"/>
  <c r="H46" i="3"/>
  <c r="E37" i="1"/>
  <c r="E36" i="1"/>
  <c r="J24" i="4"/>
  <c r="I6" i="4"/>
  <c r="E29" i="1"/>
  <c r="F36" i="1"/>
  <c r="F37" i="1"/>
  <c r="F29" i="1"/>
  <c r="E33" i="4"/>
  <c r="E26" i="4" s="1"/>
  <c r="M46" i="1" s="1"/>
  <c r="M47" i="1" s="1"/>
  <c r="M54" i="1" s="1"/>
  <c r="I10" i="1"/>
  <c r="H11" i="4"/>
  <c r="H33" i="4" s="1"/>
  <c r="H27" i="5"/>
  <c r="H32" i="2"/>
  <c r="H25" i="5"/>
  <c r="H33" i="5"/>
  <c r="H9" i="2"/>
  <c r="H35" i="5"/>
  <c r="H23" i="5"/>
  <c r="H17" i="2"/>
  <c r="H29" i="5"/>
  <c r="H16" i="2"/>
  <c r="H31" i="5"/>
  <c r="B33" i="4"/>
  <c r="B26" i="4" s="1"/>
  <c r="J46" i="1" s="1"/>
  <c r="J47" i="1" s="1"/>
  <c r="J54" i="1" s="1"/>
  <c r="C26" i="1"/>
  <c r="C28" i="1" s="1"/>
  <c r="C50" i="1" s="1"/>
  <c r="C54" i="1" s="1"/>
  <c r="D26" i="1"/>
  <c r="D28" i="1" s="1"/>
  <c r="D50" i="1" s="1"/>
  <c r="D54" i="1" s="1"/>
  <c r="G26" i="1"/>
  <c r="G28" i="1" s="1"/>
  <c r="G50" i="1" s="1"/>
  <c r="G54" i="1" s="1"/>
  <c r="H6" i="1"/>
  <c r="F33" i="4"/>
  <c r="F26" i="4" s="1"/>
  <c r="N46" i="1" s="1"/>
  <c r="N47" i="1" s="1"/>
  <c r="N54" i="1" s="1"/>
  <c r="C33" i="4"/>
  <c r="C26" i="4" s="1"/>
  <c r="K46" i="1" s="1"/>
  <c r="K47" i="1" s="1"/>
  <c r="K54" i="1" s="1"/>
  <c r="H15" i="1"/>
  <c r="J21" i="1"/>
  <c r="H20" i="1"/>
  <c r="D29" i="1" l="1"/>
  <c r="J25" i="4"/>
  <c r="I14" i="4"/>
  <c r="I16" i="4" s="1"/>
  <c r="C33" i="6"/>
  <c r="H28" i="2"/>
  <c r="C32" i="6" s="1"/>
  <c r="H33" i="2"/>
  <c r="C21" i="6" s="1"/>
  <c r="C15" i="6"/>
  <c r="C22" i="6"/>
  <c r="H24" i="2"/>
  <c r="H27" i="2"/>
  <c r="C20" i="6" s="1"/>
  <c r="C28" i="6"/>
  <c r="G26" i="4"/>
  <c r="J10" i="1"/>
  <c r="I11" i="4"/>
  <c r="I33" i="4" s="1"/>
  <c r="K24" i="4"/>
  <c r="K6" i="4" s="1"/>
  <c r="J6" i="4"/>
  <c r="C3" i="7"/>
  <c r="G36" i="1"/>
  <c r="G37" i="1"/>
  <c r="G29" i="1"/>
  <c r="F40" i="1"/>
  <c r="D36" i="1"/>
  <c r="D39" i="1" s="1"/>
  <c r="D37" i="1"/>
  <c r="E40" i="1" s="1"/>
  <c r="F39" i="1"/>
  <c r="C29" i="1"/>
  <c r="C37" i="1"/>
  <c r="C36" i="1"/>
  <c r="H37" i="5"/>
  <c r="H23" i="2"/>
  <c r="C16" i="6" s="1"/>
  <c r="H16" i="1"/>
  <c r="I15" i="1"/>
  <c r="L21" i="1"/>
  <c r="K21" i="1"/>
  <c r="I20" i="1"/>
  <c r="K25" i="4" l="1"/>
  <c r="K14" i="4" s="1"/>
  <c r="K16" i="4" s="1"/>
  <c r="J14" i="4"/>
  <c r="J16" i="4" s="1"/>
  <c r="H17" i="1"/>
  <c r="I27" i="2"/>
  <c r="D20" i="6" s="1"/>
  <c r="K10" i="1"/>
  <c r="J11" i="4"/>
  <c r="J33" i="4" s="1"/>
  <c r="G40" i="1"/>
  <c r="C4" i="7"/>
  <c r="G39" i="1"/>
  <c r="L10" i="1"/>
  <c r="K11" i="4"/>
  <c r="K33" i="4" s="1"/>
  <c r="H29" i="2"/>
  <c r="H36" i="2" s="1"/>
  <c r="D40" i="1"/>
  <c r="E39" i="1"/>
  <c r="I39" i="1" s="1"/>
  <c r="H36" i="1" s="1"/>
  <c r="I36" i="1" s="1"/>
  <c r="J36" i="1" s="1"/>
  <c r="K36" i="1" s="1"/>
  <c r="L36" i="1" s="1"/>
  <c r="H26" i="4"/>
  <c r="G17" i="4"/>
  <c r="G18" i="4" s="1"/>
  <c r="G20" i="4" s="1"/>
  <c r="C17" i="6"/>
  <c r="I23" i="2"/>
  <c r="D16" i="6" s="1"/>
  <c r="I24" i="2"/>
  <c r="H39" i="5"/>
  <c r="H20" i="5" s="1"/>
  <c r="C6" i="6" s="1"/>
  <c r="I5" i="1"/>
  <c r="I42" i="3" s="1"/>
  <c r="H22" i="1"/>
  <c r="H23" i="1" s="1"/>
  <c r="J15" i="1"/>
  <c r="J20" i="1"/>
  <c r="I40" i="1" l="1"/>
  <c r="H37" i="1" s="1"/>
  <c r="D26" i="7"/>
  <c r="C5" i="7"/>
  <c r="C23" i="7"/>
  <c r="C25" i="7" s="1"/>
  <c r="C27" i="7" s="1"/>
  <c r="J27" i="2"/>
  <c r="E20" i="6" s="1"/>
  <c r="H25" i="1"/>
  <c r="H26" i="1" s="1"/>
  <c r="H28" i="1" s="1"/>
  <c r="I37" i="1"/>
  <c r="B20" i="8"/>
  <c r="D4" i="7"/>
  <c r="I43" i="3"/>
  <c r="I44" i="3"/>
  <c r="I45" i="3"/>
  <c r="I46" i="3"/>
  <c r="I26" i="4"/>
  <c r="H17" i="4"/>
  <c r="H41" i="5"/>
  <c r="H21" i="5" s="1"/>
  <c r="D17" i="6"/>
  <c r="J24" i="2"/>
  <c r="J23" i="2"/>
  <c r="E16" i="6" s="1"/>
  <c r="I7" i="2"/>
  <c r="I31" i="5"/>
  <c r="I33" i="5"/>
  <c r="I8" i="2"/>
  <c r="I9" i="2"/>
  <c r="I23" i="5"/>
  <c r="I25" i="5"/>
  <c r="I25" i="2"/>
  <c r="D18" i="6" s="1"/>
  <c r="I27" i="5"/>
  <c r="I16" i="2"/>
  <c r="I33" i="2" s="1"/>
  <c r="I35" i="5"/>
  <c r="I32" i="2"/>
  <c r="I17" i="2"/>
  <c r="I29" i="5"/>
  <c r="I6" i="1"/>
  <c r="I16" i="1"/>
  <c r="J5" i="1"/>
  <c r="J42" i="3" s="1"/>
  <c r="I22" i="1"/>
  <c r="K15" i="1"/>
  <c r="L15" i="1"/>
  <c r="L20" i="1"/>
  <c r="K20" i="1"/>
  <c r="I17" i="1" l="1"/>
  <c r="I28" i="2"/>
  <c r="D32" i="6" s="1"/>
  <c r="D33" i="6" s="1"/>
  <c r="L27" i="2"/>
  <c r="D22" i="6"/>
  <c r="K27" i="2"/>
  <c r="F20" i="6" s="1"/>
  <c r="D28" i="6"/>
  <c r="J43" i="3"/>
  <c r="J44" i="3"/>
  <c r="J45" i="3"/>
  <c r="J46" i="3"/>
  <c r="H18" i="4"/>
  <c r="H20" i="4" s="1"/>
  <c r="I25" i="1"/>
  <c r="J26" i="4"/>
  <c r="I17" i="4"/>
  <c r="I18" i="4" s="1"/>
  <c r="I20" i="4" s="1"/>
  <c r="J37" i="1"/>
  <c r="E4" i="7"/>
  <c r="I18" i="5"/>
  <c r="I37" i="5"/>
  <c r="I39" i="5" s="1"/>
  <c r="I20" i="5" s="1"/>
  <c r="D6" i="6" s="1"/>
  <c r="J31" i="5"/>
  <c r="J25" i="2"/>
  <c r="E18" i="6" s="1"/>
  <c r="J7" i="2"/>
  <c r="J27" i="5"/>
  <c r="J8" i="2"/>
  <c r="J33" i="5"/>
  <c r="J23" i="5"/>
  <c r="J9" i="2"/>
  <c r="J25" i="5"/>
  <c r="J29" i="5"/>
  <c r="J32" i="2"/>
  <c r="J17" i="2"/>
  <c r="J16" i="2"/>
  <c r="J33" i="2" s="1"/>
  <c r="J35" i="5"/>
  <c r="L23" i="2"/>
  <c r="L24" i="2"/>
  <c r="H19" i="5"/>
  <c r="C27" i="6" s="1"/>
  <c r="C29" i="6" s="1"/>
  <c r="H13" i="2"/>
  <c r="K24" i="2"/>
  <c r="K23" i="2"/>
  <c r="F16" i="6" s="1"/>
  <c r="E17" i="6"/>
  <c r="H69" i="5"/>
  <c r="H67" i="5"/>
  <c r="C34" i="6" s="1"/>
  <c r="D15" i="6"/>
  <c r="D12" i="6"/>
  <c r="I23" i="1"/>
  <c r="D21" i="6"/>
  <c r="H33" i="1"/>
  <c r="H32" i="1"/>
  <c r="H29" i="1"/>
  <c r="D3" i="7"/>
  <c r="D5" i="7" s="1"/>
  <c r="D11" i="7" s="1"/>
  <c r="C5" i="6"/>
  <c r="L5" i="1"/>
  <c r="L42" i="3" s="1"/>
  <c r="K5" i="1"/>
  <c r="K42" i="3" s="1"/>
  <c r="J6" i="1"/>
  <c r="J16" i="1"/>
  <c r="J22" i="1"/>
  <c r="I29" i="2" l="1"/>
  <c r="I36" i="2" s="1"/>
  <c r="E26" i="7"/>
  <c r="D14" i="7"/>
  <c r="I14" i="7" s="1"/>
  <c r="D22" i="7"/>
  <c r="D23" i="7" s="1"/>
  <c r="J17" i="1"/>
  <c r="J28" i="2"/>
  <c r="E32" i="6" s="1"/>
  <c r="E33" i="6" s="1"/>
  <c r="G16" i="6"/>
  <c r="E22" i="6"/>
  <c r="E28" i="6"/>
  <c r="J25" i="1"/>
  <c r="I26" i="1"/>
  <c r="I28" i="1" s="1"/>
  <c r="E3" i="7" s="1"/>
  <c r="E5" i="7" s="1"/>
  <c r="E11" i="7" s="1"/>
  <c r="K43" i="3"/>
  <c r="K44" i="3"/>
  <c r="K45" i="3"/>
  <c r="K46" i="3"/>
  <c r="L43" i="3"/>
  <c r="L44" i="3"/>
  <c r="L45" i="3"/>
  <c r="L46" i="3"/>
  <c r="K37" i="1"/>
  <c r="F4" i="7"/>
  <c r="J29" i="2"/>
  <c r="J36" i="2" s="1"/>
  <c r="K26" i="4"/>
  <c r="K17" i="4" s="1"/>
  <c r="J17" i="4"/>
  <c r="J18" i="4" s="1"/>
  <c r="J20" i="4" s="1"/>
  <c r="G20" i="6"/>
  <c r="F17" i="6"/>
  <c r="J37" i="5"/>
  <c r="J39" i="5" s="1"/>
  <c r="G17" i="6"/>
  <c r="K31" i="5"/>
  <c r="K23" i="5"/>
  <c r="K27" i="5"/>
  <c r="K25" i="5"/>
  <c r="K25" i="2"/>
  <c r="F18" i="6" s="1"/>
  <c r="K9" i="2"/>
  <c r="K33" i="5"/>
  <c r="K7" i="2"/>
  <c r="F12" i="6" s="1"/>
  <c r="K8" i="2"/>
  <c r="K29" i="5"/>
  <c r="K35" i="5"/>
  <c r="K17" i="2"/>
  <c r="K32" i="2"/>
  <c r="K16" i="2"/>
  <c r="K33" i="2" s="1"/>
  <c r="L31" i="5"/>
  <c r="L25" i="5"/>
  <c r="L27" i="5"/>
  <c r="L33" i="5"/>
  <c r="L23" i="5"/>
  <c r="L8" i="2"/>
  <c r="L9" i="2"/>
  <c r="L7" i="2"/>
  <c r="L25" i="2"/>
  <c r="L29" i="5"/>
  <c r="L16" i="2"/>
  <c r="L33" i="2" s="1"/>
  <c r="L17" i="2"/>
  <c r="L32" i="2"/>
  <c r="L35" i="5"/>
  <c r="E12" i="6"/>
  <c r="I41" i="5"/>
  <c r="L16" i="1"/>
  <c r="B4" i="8"/>
  <c r="K6" i="1"/>
  <c r="L6" i="1"/>
  <c r="K16" i="1"/>
  <c r="J23" i="1"/>
  <c r="E21" i="6"/>
  <c r="E15" i="6"/>
  <c r="K22" i="1"/>
  <c r="L22" i="1"/>
  <c r="K17" i="1" l="1"/>
  <c r="L17" i="1"/>
  <c r="E15" i="7"/>
  <c r="I15" i="7" s="1"/>
  <c r="E22" i="7"/>
  <c r="E23" i="7" s="1"/>
  <c r="K28" i="2"/>
  <c r="F32" i="6" s="1"/>
  <c r="F33" i="6" s="1"/>
  <c r="L28" i="2"/>
  <c r="G22" i="6"/>
  <c r="F22" i="6"/>
  <c r="G28" i="6"/>
  <c r="F28" i="6"/>
  <c r="J26" i="1"/>
  <c r="J28" i="1" s="1"/>
  <c r="F3" i="7" s="1"/>
  <c r="F5" i="7" s="1"/>
  <c r="F11" i="7" s="1"/>
  <c r="I32" i="1"/>
  <c r="D5" i="6"/>
  <c r="I67" i="5"/>
  <c r="D34" i="6" s="1"/>
  <c r="I33" i="1"/>
  <c r="I69" i="5"/>
  <c r="I29" i="1"/>
  <c r="K25" i="1"/>
  <c r="L37" i="1"/>
  <c r="H4" i="7" s="1"/>
  <c r="G4" i="7"/>
  <c r="K18" i="4"/>
  <c r="K20" i="4" s="1"/>
  <c r="L25" i="1"/>
  <c r="G15" i="6"/>
  <c r="G18" i="6"/>
  <c r="G12" i="6"/>
  <c r="L37" i="5"/>
  <c r="J18" i="5"/>
  <c r="I21" i="5"/>
  <c r="J41" i="5"/>
  <c r="J20" i="5"/>
  <c r="K37" i="5"/>
  <c r="L23" i="1"/>
  <c r="F15" i="6"/>
  <c r="K23" i="1"/>
  <c r="E6" i="6" l="1"/>
  <c r="F26" i="7"/>
  <c r="G32" i="6"/>
  <c r="G33" i="6" s="1"/>
  <c r="F16" i="7"/>
  <c r="I16" i="7" s="1"/>
  <c r="F22" i="7"/>
  <c r="F23" i="7" s="1"/>
  <c r="J67" i="5"/>
  <c r="E34" i="6" s="1"/>
  <c r="D4" i="8" s="1"/>
  <c r="J69" i="5"/>
  <c r="J33" i="1"/>
  <c r="J29" i="1"/>
  <c r="L29" i="2"/>
  <c r="L36" i="2" s="1"/>
  <c r="K29" i="2"/>
  <c r="K36" i="2" s="1"/>
  <c r="J32" i="1"/>
  <c r="E5" i="6"/>
  <c r="K26" i="1"/>
  <c r="K28" i="1" s="1"/>
  <c r="K67" i="5" s="1"/>
  <c r="F34" i="6" s="1"/>
  <c r="C4" i="8"/>
  <c r="L26" i="1"/>
  <c r="L28" i="1" s="1"/>
  <c r="L69" i="5" s="1"/>
  <c r="K39" i="5"/>
  <c r="K20" i="5" s="1"/>
  <c r="L39" i="5"/>
  <c r="L41" i="5" s="1"/>
  <c r="L21" i="5" s="1"/>
  <c r="K18" i="5"/>
  <c r="J21" i="5"/>
  <c r="I13" i="2"/>
  <c r="I19" i="5"/>
  <c r="D27" i="6" s="1"/>
  <c r="D29" i="6" s="1"/>
  <c r="F21" i="6"/>
  <c r="G21" i="6"/>
  <c r="F6" i="6" l="1"/>
  <c r="G26" i="7"/>
  <c r="L67" i="5"/>
  <c r="G34" i="6" s="1"/>
  <c r="K33" i="1"/>
  <c r="K32" i="1"/>
  <c r="K29" i="1"/>
  <c r="F5" i="6"/>
  <c r="G3" i="7"/>
  <c r="G5" i="7" s="1"/>
  <c r="G11" i="7" s="1"/>
  <c r="K69" i="5"/>
  <c r="L32" i="1"/>
  <c r="L29" i="1"/>
  <c r="L33" i="1"/>
  <c r="G5" i="6"/>
  <c r="H3" i="7"/>
  <c r="H5" i="7" s="1"/>
  <c r="H11" i="7" s="1"/>
  <c r="K41" i="5"/>
  <c r="K21" i="5" s="1"/>
  <c r="L13" i="2"/>
  <c r="J13" i="2"/>
  <c r="J19" i="5"/>
  <c r="E27" i="6" s="1"/>
  <c r="E29" i="6" s="1"/>
  <c r="L20" i="5"/>
  <c r="F4" i="8"/>
  <c r="E4" i="8"/>
  <c r="G6" i="6" l="1"/>
  <c r="H26" i="7"/>
  <c r="G17" i="7"/>
  <c r="I17" i="7" s="1"/>
  <c r="G22" i="7"/>
  <c r="G23" i="7" s="1"/>
  <c r="H18" i="7"/>
  <c r="I18" i="7" s="1"/>
  <c r="H22" i="7"/>
  <c r="H23" i="7" s="1"/>
  <c r="L18" i="5"/>
  <c r="L19" i="5" s="1"/>
  <c r="G27" i="6" s="1"/>
  <c r="G29" i="6" s="1"/>
  <c r="K13" i="2"/>
  <c r="K19" i="5"/>
  <c r="F27" i="6" s="1"/>
  <c r="F29" i="6" s="1"/>
  <c r="C73" i="5" l="1"/>
  <c r="H73" i="5" s="1"/>
  <c r="I73" i="5" s="1"/>
  <c r="J73" i="5" s="1"/>
  <c r="K73" i="5" s="1"/>
  <c r="L73" i="5" s="1"/>
  <c r="C64" i="5"/>
  <c r="H68" i="5" l="1"/>
  <c r="C35" i="6" s="1"/>
  <c r="C36" i="6" s="1"/>
  <c r="C13" i="6"/>
  <c r="D13" i="6"/>
  <c r="H70" i="5" l="1"/>
  <c r="H43" i="2" s="1"/>
  <c r="I68" i="5"/>
  <c r="C14" i="6"/>
  <c r="C24" i="6" s="1"/>
  <c r="C38" i="6" s="1"/>
  <c r="H6" i="2" s="1"/>
  <c r="D24" i="7" s="1"/>
  <c r="D25" i="7" s="1"/>
  <c r="D27" i="7" s="1"/>
  <c r="D31" i="7" s="1"/>
  <c r="D34" i="7" s="1"/>
  <c r="I34" i="7" s="1"/>
  <c r="I66" i="5" l="1"/>
  <c r="D35" i="6"/>
  <c r="D36" i="6" s="1"/>
  <c r="H44" i="2"/>
  <c r="H46" i="2" s="1"/>
  <c r="H48" i="2" s="1"/>
  <c r="J68" i="5"/>
  <c r="I70" i="5"/>
  <c r="E14" i="6"/>
  <c r="E13" i="6"/>
  <c r="F13" i="6"/>
  <c r="D14" i="6"/>
  <c r="D24" i="6" s="1"/>
  <c r="E24" i="6" l="1"/>
  <c r="D38" i="6"/>
  <c r="I6" i="2" s="1"/>
  <c r="E24" i="7" s="1"/>
  <c r="E25" i="7" s="1"/>
  <c r="E27" i="7" s="1"/>
  <c r="E31" i="7" s="1"/>
  <c r="E35" i="7" s="1"/>
  <c r="I35" i="7" s="1"/>
  <c r="B3" i="8"/>
  <c r="B5" i="8" s="1"/>
  <c r="B10" i="8" s="1"/>
  <c r="E35" i="6"/>
  <c r="E36" i="6" s="1"/>
  <c r="E38" i="6" s="1"/>
  <c r="J66" i="5"/>
  <c r="J70" i="5" s="1"/>
  <c r="I43" i="2"/>
  <c r="L68" i="5"/>
  <c r="K68" i="5"/>
  <c r="F14" i="6"/>
  <c r="F24" i="6" s="1"/>
  <c r="G13" i="6"/>
  <c r="C3" i="8" l="1"/>
  <c r="C5" i="8" s="1"/>
  <c r="C10" i="8" s="1"/>
  <c r="J6" i="2"/>
  <c r="F24" i="7" s="1"/>
  <c r="F25" i="7" s="1"/>
  <c r="F27" i="7" s="1"/>
  <c r="F31" i="7" s="1"/>
  <c r="F36" i="7" s="1"/>
  <c r="I36" i="7" s="1"/>
  <c r="F35" i="6"/>
  <c r="I44" i="2"/>
  <c r="I46" i="2" s="1"/>
  <c r="I48" i="2" s="1"/>
  <c r="D3" i="8"/>
  <c r="D5" i="8" s="1"/>
  <c r="D10" i="8" s="1"/>
  <c r="G35" i="6"/>
  <c r="G36" i="6" s="1"/>
  <c r="K66" i="5"/>
  <c r="K70" i="5" s="1"/>
  <c r="J43" i="2"/>
  <c r="G14" i="6"/>
  <c r="G24" i="6" s="1"/>
  <c r="G38" i="6" l="1"/>
  <c r="F3" i="8" s="1"/>
  <c r="F5" i="8" s="1"/>
  <c r="F10" i="8" s="1"/>
  <c r="F36" i="6"/>
  <c r="J44" i="2"/>
  <c r="J46" i="2" s="1"/>
  <c r="J48" i="2" s="1"/>
  <c r="L66" i="5"/>
  <c r="L70" i="5" s="1"/>
  <c r="K43" i="2"/>
  <c r="F38" i="6" l="1"/>
  <c r="L43" i="2"/>
  <c r="L44" i="2" s="1"/>
  <c r="L46" i="2" s="1"/>
  <c r="L48" i="2" s="1"/>
  <c r="K44" i="2"/>
  <c r="K46" i="2" s="1"/>
  <c r="K48" i="2" s="1"/>
  <c r="B17" i="8"/>
  <c r="B18" i="8" s="1"/>
  <c r="E3" i="8" l="1"/>
  <c r="E5" i="8" s="1"/>
  <c r="E10" i="8" s="1"/>
  <c r="B19" i="8" s="1"/>
  <c r="B21" i="8" s="1"/>
  <c r="K6" i="2"/>
  <c r="L6" i="2" l="1"/>
  <c r="H24" i="7" s="1"/>
  <c r="H25" i="7" s="1"/>
  <c r="H27" i="7" s="1"/>
  <c r="H31" i="7" s="1"/>
  <c r="H38" i="7" s="1"/>
  <c r="I38" i="7" s="1"/>
  <c r="G24" i="7"/>
  <c r="G25" i="7" s="1"/>
  <c r="G27" i="7" s="1"/>
  <c r="G31" i="7" s="1"/>
  <c r="G37" i="7" s="1"/>
  <c r="I37" i="7" s="1"/>
  <c r="H10" i="2"/>
  <c r="H18" i="2" s="1"/>
  <c r="H52" i="2" s="1"/>
  <c r="C40" i="6" s="1"/>
  <c r="J10" i="2" l="1"/>
  <c r="J18" i="2" s="1"/>
  <c r="J52" i="2" s="1"/>
  <c r="I10" i="2"/>
  <c r="I18" i="2" s="1"/>
  <c r="I52" i="2" s="1"/>
  <c r="D40" i="6" l="1"/>
  <c r="E40" i="6"/>
  <c r="L10" i="2"/>
  <c r="L18" i="2" s="1"/>
  <c r="L52" i="2" s="1"/>
  <c r="K10" i="2"/>
  <c r="K18" i="2" s="1"/>
  <c r="K52" i="2" s="1"/>
  <c r="F40" i="6" l="1"/>
  <c r="G40" i="6"/>
</calcChain>
</file>

<file path=xl/sharedStrings.xml><?xml version="1.0" encoding="utf-8"?>
<sst xmlns="http://schemas.openxmlformats.org/spreadsheetml/2006/main" count="565" uniqueCount="304">
  <si>
    <t>Income Statement- USD($) and shares in millions</t>
  </si>
  <si>
    <t>Actual</t>
  </si>
  <si>
    <t>Expected</t>
  </si>
  <si>
    <t>REVENUE</t>
  </si>
  <si>
    <t>x</t>
  </si>
  <si>
    <t>Total revenue</t>
  </si>
  <si>
    <t>Revenue Growth</t>
  </si>
  <si>
    <t>OPERATING EXPENSES</t>
  </si>
  <si>
    <t>`</t>
  </si>
  <si>
    <t>Selling, general and administrative</t>
  </si>
  <si>
    <t>Total Operating Expense</t>
  </si>
  <si>
    <t>EBIT</t>
  </si>
  <si>
    <t>EBIT Margin</t>
  </si>
  <si>
    <t>OTHER INCOME (EXPENSE)</t>
  </si>
  <si>
    <t>Interest expense</t>
  </si>
  <si>
    <t>Interest income and other, net</t>
  </si>
  <si>
    <t>Interest, net</t>
  </si>
  <si>
    <t>INCOME BEFORE INCOME TAXES (EBT)</t>
  </si>
  <si>
    <t>Provision for income taxes</t>
  </si>
  <si>
    <t>Net income including noncontrolling interests</t>
  </si>
  <si>
    <t>Net income attributable to noncontrolling interests</t>
  </si>
  <si>
    <t>Net Income Margin</t>
  </si>
  <si>
    <t>Basic</t>
  </si>
  <si>
    <t>Diluted</t>
  </si>
  <si>
    <t>Shares used in calculation (000’s)</t>
  </si>
  <si>
    <t>Revenue Build - USD ($) in millions</t>
  </si>
  <si>
    <t>Estimated</t>
  </si>
  <si>
    <t>2020A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</si>
  <si>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</si>
  <si>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</si>
  <si>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</si>
  <si>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</si>
  <si>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</si>
  <si>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</si>
  <si>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</si>
  <si>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</si>
  <si>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</si>
  <si>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Total Revenues</t>
  </si>
  <si>
    <t>Revenue Drivers</t>
  </si>
  <si>
    <t>Expense Build - USD ($) in millions</t>
  </si>
  <si>
    <t>Operating Expenses:</t>
  </si>
  <si>
    <t>Total Operating Expenses:</t>
  </si>
  <si>
    <t>Non-operating Expenses:</t>
  </si>
  <si>
    <t>Total Non-operating Expenses:</t>
  </si>
  <si>
    <t>Total Expenses:</t>
  </si>
  <si>
    <t>Expense Build Drivers:</t>
  </si>
  <si>
    <t>SGandA - % of revenue</t>
  </si>
  <si>
    <t>Interest Expense (Income) - % of debt</t>
  </si>
  <si>
    <t>Income Tax Expense - Effective Tax Rate</t>
  </si>
  <si>
    <t>Long-term debt, excluding current portion</t>
  </si>
  <si>
    <t>Total current liabilities</t>
  </si>
  <si>
    <t>TOTAL LTD</t>
  </si>
  <si>
    <t>EBT</t>
  </si>
  <si>
    <t>Balance Sheet - USD($) in millions</t>
  </si>
  <si>
    <t>ASSETS</t>
  </si>
  <si>
    <t>CURRENT ASSETS</t>
  </si>
  <si>
    <t>Cash and cash equivalents</t>
  </si>
  <si>
    <t>o</t>
  </si>
  <si>
    <t>Receivables, net</t>
  </si>
  <si>
    <t>Other current assets</t>
  </si>
  <si>
    <t>Total current assets</t>
  </si>
  <si>
    <t>OTHER ASSETS</t>
  </si>
  <si>
    <t>Property and equipment, net</t>
  </si>
  <si>
    <t>i</t>
  </si>
  <si>
    <t>Operating lease right-of-use assets</t>
  </si>
  <si>
    <t>Other long-term assets</t>
  </si>
  <si>
    <t>TOTAL ASSETS</t>
  </si>
  <si>
    <t>LIABILITIES AND EQUITY</t>
  </si>
  <si>
    <t>CURRENT LIABILITIES</t>
  </si>
  <si>
    <t>Accounts payable</t>
  </si>
  <si>
    <t>OTHER LIABILITIES</t>
  </si>
  <si>
    <t>f</t>
  </si>
  <si>
    <t>Long-term operating lease liabilities</t>
  </si>
  <si>
    <t>Other long-term liabilities</t>
  </si>
  <si>
    <t>TOTAL LIABILITIES</t>
  </si>
  <si>
    <t>EQUITY</t>
  </si>
  <si>
    <t>Additional paid-in capital</t>
  </si>
  <si>
    <t>Accumulated other comprehensive loss</t>
  </si>
  <si>
    <t>Retained earnings</t>
  </si>
  <si>
    <t>Total Costco stockholders’ equity</t>
  </si>
  <si>
    <t>Noncontrolling interests</t>
  </si>
  <si>
    <t>TOTAL EQUITY</t>
  </si>
  <si>
    <t>TOTAL LIABILITIES AND EQUITY</t>
  </si>
  <si>
    <t>Balance Sheet Build - USD ($) in millions</t>
  </si>
  <si>
    <t>Assets</t>
  </si>
  <si>
    <t>Receivables, net - % of revenue</t>
  </si>
  <si>
    <t>Other current assets - % of revenue</t>
  </si>
  <si>
    <t>Operating lease right-of-use assets - % of revenue</t>
  </si>
  <si>
    <t>Other long-term assets - % of revenue</t>
  </si>
  <si>
    <t>PPE</t>
  </si>
  <si>
    <t>cap ex</t>
  </si>
  <si>
    <t>BOY PPE</t>
  </si>
  <si>
    <t>2024-23 acc dep</t>
  </si>
  <si>
    <t>end y ppe -beginning + dep</t>
  </si>
  <si>
    <t>Plus: CapEx</t>
  </si>
  <si>
    <t>Less: Depreciation Expense</t>
  </si>
  <si>
    <t>EOY PPE</t>
  </si>
  <si>
    <t>Buildings and improvements - % of revenue</t>
  </si>
  <si>
    <t>Construction in progress</t>
  </si>
  <si>
    <t>Construction in progress - % of revenue</t>
  </si>
  <si>
    <t>Total PPE Gross</t>
  </si>
  <si>
    <t>Accumulated depreciation</t>
  </si>
  <si>
    <t>% of gross PPE</t>
  </si>
  <si>
    <t>Total PPE, net</t>
  </si>
  <si>
    <t xml:space="preserve">Liabilties </t>
  </si>
  <si>
    <t>Accounts Payable - % of OpEx</t>
  </si>
  <si>
    <t>Accrued Liabilities - % of OpEx</t>
  </si>
  <si>
    <t>Long-term debt, excluding current portion - % of revenue</t>
  </si>
  <si>
    <t>Long-term operating lease liabilities - % of lease assets</t>
  </si>
  <si>
    <t>Shareholders Equity</t>
  </si>
  <si>
    <t>BOY APIC</t>
  </si>
  <si>
    <t>Plus: SBC</t>
  </si>
  <si>
    <t>EOY: APIC</t>
  </si>
  <si>
    <t>SBC - % of Revenue</t>
  </si>
  <si>
    <t>BOY Retained Earnings</t>
  </si>
  <si>
    <t>Less: Dividends</t>
  </si>
  <si>
    <t>Plus: Net Income</t>
  </si>
  <si>
    <t>EOY Retained Earnings</t>
  </si>
  <si>
    <t>Dividends - % of Net Income</t>
  </si>
  <si>
    <t>Share Stuff - % of Revenue</t>
  </si>
  <si>
    <t>Derived Cash Flow- USD($) in millions</t>
  </si>
  <si>
    <t>Operating Activities</t>
  </si>
  <si>
    <t>Net Income</t>
  </si>
  <si>
    <t>+ Depreciation</t>
  </si>
  <si>
    <t>+ Stock Based Comp</t>
  </si>
  <si>
    <t>Changes in operating assets and liabilities:</t>
  </si>
  <si>
    <t>Cash from operating activities</t>
  </si>
  <si>
    <t>Investing Activities:</t>
  </si>
  <si>
    <t>CapEx/PPE</t>
  </si>
  <si>
    <t>Cash from investing activities</t>
  </si>
  <si>
    <t>Financing Activities:</t>
  </si>
  <si>
    <t>Dividends</t>
  </si>
  <si>
    <t>Other stuff</t>
  </si>
  <si>
    <t>Cash from financing activities</t>
  </si>
  <si>
    <t>Net Change in Cash</t>
  </si>
  <si>
    <t>IRR</t>
  </si>
  <si>
    <t>Shares</t>
  </si>
  <si>
    <t>EPS</t>
  </si>
  <si>
    <t>Current Price</t>
  </si>
  <si>
    <t>Current P/E</t>
  </si>
  <si>
    <t>Forward P/E</t>
  </si>
  <si>
    <t>Implied Price</t>
  </si>
  <si>
    <t>Returns Analysis</t>
  </si>
  <si>
    <t>COST DCF</t>
  </si>
  <si>
    <t>net change in cash</t>
  </si>
  <si>
    <t>+ Dividends</t>
  </si>
  <si>
    <t>FCFE</t>
  </si>
  <si>
    <t>Terminal Assumption</t>
  </si>
  <si>
    <t>Valuation date</t>
  </si>
  <si>
    <t>FY End</t>
  </si>
  <si>
    <t>Terminal Growth Rate</t>
  </si>
  <si>
    <t>Cost of Equity</t>
  </si>
  <si>
    <t>Risk Free rate</t>
  </si>
  <si>
    <t>Beta</t>
  </si>
  <si>
    <t>Expected Market Return</t>
  </si>
  <si>
    <t>Capital Asset Pricing Model</t>
  </si>
  <si>
    <t>Current Valuation</t>
  </si>
  <si>
    <t>Terminal Valuation</t>
  </si>
  <si>
    <t>Discount Factor</t>
  </si>
  <si>
    <t>PV of FCFE</t>
  </si>
  <si>
    <t>PV of TV</t>
  </si>
  <si>
    <t>PV of Equity</t>
  </si>
  <si>
    <t>Diluted Shares</t>
  </si>
  <si>
    <t>share price</t>
  </si>
  <si>
    <t>DoD and U.S. Intelligence Community</t>
  </si>
  <si>
    <t>Other U.S. government agencies*</t>
  </si>
  <si>
    <t>*</t>
  </si>
  <si>
    <t>Includes federal government agencies other than the DoD and U.S. Intelligence Community, as well as state and local government agencies.</t>
  </si>
  <si>
    <t>Commercial and non-U.S. customers</t>
  </si>
  <si>
    <t>Revenues</t>
  </si>
  <si>
    <t>COGS</t>
  </si>
  <si>
    <t>Acquisition, integration, and restructuring costs</t>
  </si>
  <si>
    <t>Goodwill impairment charges</t>
  </si>
  <si>
    <t>Equity earnings of non-consolidated subsidiaries</t>
  </si>
  <si>
    <t>Asset Impairment Charged</t>
  </si>
  <si>
    <t>COGS - % of revenue</t>
  </si>
  <si>
    <t>Defense Solutions</t>
  </si>
  <si>
    <t>National Security &amp; Digital</t>
  </si>
  <si>
    <t>Health &amp; Civil</t>
  </si>
  <si>
    <t>Commercial &amp; International</t>
  </si>
  <si>
    <t>2020E**</t>
  </si>
  <si>
    <t>2021E**</t>
  </si>
  <si>
    <t>**</t>
  </si>
  <si>
    <t>Leidos changed their revenue categories so I estimated what they would look like in FY 2020/2021 based on the average percents they take up from 2022-2024</t>
  </si>
  <si>
    <t>Total Revenue</t>
  </si>
  <si>
    <t>% National Security &amp; Digital</t>
  </si>
  <si>
    <t>% Health &amp; Civil</t>
  </si>
  <si>
    <t>% Commercial &amp; International</t>
  </si>
  <si>
    <t>% Defense Solutions</t>
  </si>
  <si>
    <t xml:space="preserve">Preferred stock </t>
  </si>
  <si>
    <t xml:space="preserve">Common stock </t>
  </si>
  <si>
    <t>Inventory, net</t>
  </si>
  <si>
    <t>Operating lease right-of-use assets, net</t>
  </si>
  <si>
    <t>Goodwill</t>
  </si>
  <si>
    <t>acrued payroll and employee benefits</t>
  </si>
  <si>
    <t>current portion of long term debt</t>
  </si>
  <si>
    <t>Deferred tax liabilities</t>
  </si>
  <si>
    <t>Computers and other equipment</t>
  </si>
  <si>
    <t>leasehold improvements</t>
  </si>
  <si>
    <t>vehicles and transportation equipment</t>
  </si>
  <si>
    <t xml:space="preserve">Buildings and improvements </t>
  </si>
  <si>
    <t>office furniture and fixtures</t>
  </si>
  <si>
    <t>office furniture and fixtures - % of revenue</t>
  </si>
  <si>
    <t>vehicles and transportation equipment - % of revenue</t>
  </si>
  <si>
    <t>leasehold improvements - % of revenue</t>
  </si>
  <si>
    <t>Computers and other equipment - % of revenue</t>
  </si>
  <si>
    <t>land</t>
  </si>
  <si>
    <t>land - % of revenue</t>
  </si>
  <si>
    <t xml:space="preserve"> National Security &amp; Digital </t>
  </si>
  <si>
    <t>OLD SEGMENT</t>
  </si>
  <si>
    <t>Defense</t>
  </si>
  <si>
    <t>Health</t>
  </si>
  <si>
    <t>Civil</t>
  </si>
  <si>
    <t>total</t>
  </si>
  <si>
    <t>percent of total rev</t>
  </si>
  <si>
    <t>NEW SEGMENT</t>
  </si>
  <si>
    <t>FY22 Revenue Mapping: Old → New Segments (Exact + % of Total)</t>
  </si>
  <si>
    <t>Old Segment</t>
  </si>
  <si>
    <t>Old Rev ($M)</t>
  </si>
  <si>
    <t>NS&amp;D ($M)</t>
  </si>
  <si>
    <t>%</t>
  </si>
  <si>
    <t>Health &amp; Civil ($M)</t>
  </si>
  <si>
    <t>C&amp;I ($M)</t>
  </si>
  <si>
    <t>Defense Systems ($M)</t>
  </si>
  <si>
    <t>Total</t>
  </si>
  <si>
    <t>NS&amp;D</t>
  </si>
  <si>
    <t>H&amp;C</t>
  </si>
  <si>
    <t>C&amp;I</t>
  </si>
  <si>
    <t>Def Sys</t>
  </si>
  <si>
    <t>totals</t>
  </si>
  <si>
    <t>MAPPING KEY</t>
  </si>
  <si>
    <t>percent of group</t>
  </si>
  <si>
    <t>Mapping percent final of total rev</t>
  </si>
  <si>
    <t>EXAMPLE MAPPING OF 2022</t>
  </si>
  <si>
    <t>tot</t>
  </si>
  <si>
    <t>Less: Other Stuff (share repurchases)</t>
  </si>
  <si>
    <t>(all the SBC related things within apic colomn)</t>
  </si>
  <si>
    <t>accounts payable</t>
  </si>
  <si>
    <t xml:space="preserve">accrued liabilities </t>
  </si>
  <si>
    <t>deferred revenue</t>
  </si>
  <si>
    <t>n/a</t>
  </si>
  <si>
    <t>Inventories - % of revenue</t>
  </si>
  <si>
    <t>avg</t>
  </si>
  <si>
    <t>Inventories</t>
  </si>
  <si>
    <t>Intangible Assets, net</t>
  </si>
  <si>
    <t>Intangible Assets - % of revenue</t>
  </si>
  <si>
    <t>deferred revenues - % of revenue</t>
  </si>
  <si>
    <t xml:space="preserve">accrued payroll and employee benefits - % of OpEx </t>
  </si>
  <si>
    <t>other (A/P and Acc Lia)</t>
  </si>
  <si>
    <t>13-13.5 ebitda</t>
  </si>
  <si>
    <t>*excluded the 48% tax because that was anomaly</t>
  </si>
  <si>
    <t>Backlog- USD ($) in millions</t>
  </si>
  <si>
    <t xml:space="preserve"> Defense Solutions </t>
  </si>
  <si>
    <t>Funded</t>
  </si>
  <si>
    <t>Unfunded</t>
  </si>
  <si>
    <t>total backlog growth</t>
  </si>
  <si>
    <t>total backlog</t>
  </si>
  <si>
    <t xml:space="preserve"> n/a </t>
  </si>
  <si>
    <t>growth</t>
  </si>
  <si>
    <t>over 2 yr</t>
  </si>
  <si>
    <t xml:space="preserve"> Revenue Build - USD ($) in millions </t>
  </si>
  <si>
    <t xml:space="preserve"> Actual </t>
  </si>
  <si>
    <t xml:space="preserve"> 2020E** </t>
  </si>
  <si>
    <t xml:space="preserve"> 2021E** </t>
  </si>
  <si>
    <t xml:space="preserve"> 2022A </t>
  </si>
  <si>
    <t xml:space="preserve"> 2023A </t>
  </si>
  <si>
    <t xml:space="preserve"> 2024A </t>
  </si>
  <si>
    <t>avg last three years</t>
  </si>
  <si>
    <t>cogs to revenue</t>
  </si>
  <si>
    <t>sga to rev</t>
  </si>
  <si>
    <t>other long term-assets</t>
  </si>
  <si>
    <t>g-h if outflow</t>
  </si>
  <si>
    <t>h-g if inflow</t>
  </si>
  <si>
    <t xml:space="preserve">caci </t>
  </si>
  <si>
    <t>net inc margin</t>
  </si>
  <si>
    <t>saic</t>
  </si>
  <si>
    <t>booz allen</t>
  </si>
  <si>
    <t>FCF Conversion</t>
  </si>
  <si>
    <t>less: capex</t>
  </si>
  <si>
    <t>FCF</t>
  </si>
  <si>
    <t>FCF conversion</t>
  </si>
  <si>
    <t>net income</t>
  </si>
  <si>
    <t>ROIC</t>
  </si>
  <si>
    <t>NOPAT</t>
  </si>
  <si>
    <t>1-tax rate</t>
  </si>
  <si>
    <t>operating cash flow</t>
  </si>
  <si>
    <t>invested capital</t>
  </si>
  <si>
    <t>plus: total debt</t>
  </si>
  <si>
    <t>plus: total equity</t>
  </si>
  <si>
    <t>less: cash</t>
  </si>
  <si>
    <t>current ratio</t>
  </si>
  <si>
    <t>debt to equity ratio</t>
  </si>
  <si>
    <t>interest coverage ratio</t>
  </si>
  <si>
    <t>aoci</t>
  </si>
  <si>
    <t>current portion of long term debt - % of debt</t>
  </si>
  <si>
    <t>EV/EBITDA IRR</t>
  </si>
  <si>
    <t>Price per share</t>
  </si>
  <si>
    <t>Market cap</t>
  </si>
  <si>
    <t>Net debt</t>
  </si>
  <si>
    <t>EV</t>
  </si>
  <si>
    <t>EBITDA</t>
  </si>
  <si>
    <t>Multiple</t>
  </si>
  <si>
    <t>NET INCOME ATTRIBUTABLE TO LEIDOS</t>
  </si>
  <si>
    <t>NET INCOME PER COMMON SHARE ATTRIBUTABLE TO LEIDOS: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</si>
</sst>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0_);_(* \(#,##0.00\);_(* &quot;-&quot;_);_(@_)"/>
    <numFmt numFmtId="166" formatCode="#\A"/>
    <numFmt numFmtId="167" formatCode="#\E"/>
    <numFmt numFmtId="168" formatCode="_(* #,##0_);_(* \(#,##0\);_(* &quot;-&quot;??_);_(@_)"/>
    <numFmt numFmtId="169" formatCode="_(* #,##0.0_);_(* \(#,##0.0\);_(* &quot;-&quot;_);_(@_)"/>
    <numFmt numFmtId="170" formatCode="0.0000000%"/>
    <numFmt numFmtId="171" formatCode="0.000%"/>
    <numFmt numFmtId="172" formatCode="_(* #,##0.0000_);_(* \(#,##0.0000\);_(* &quot;-&quot;??_);_(@_)"/>
    <numFmt numFmtId="173" formatCode="_(* #,##0.00000000000000000_);_(* \(#,##0.00000000000000000\);_(* &quot;-&quot;??_);_(@_)"/>
  </numFmts>
  <fonts count="42" x14ac:knownFonts="1"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  <font>
      <sz val="12"/>
      <color theme="1"/>
      <name val="Helvetica Neue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i/>
      <sz val="12"/>
      <color rgb="FF000000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Calibri"/>
      <family val="2"/>
    </font>
    <font>
      <sz val="12"/>
      <color theme="9"/>
      <name val="Aptos Narrow"/>
      <family val="2"/>
      <scheme val="minor"/>
    </font>
    <font>
      <sz val="12"/>
      <color theme="9"/>
      <name val="Calibri"/>
      <family val="2"/>
    </font>
    <font>
      <sz val="12"/>
      <color rgb="FF00B0F0"/>
      <name val="Calibri"/>
      <family val="2"/>
    </font>
    <font>
      <sz val="12"/>
      <color theme="7"/>
      <name val="Calibri"/>
      <family val="2"/>
    </font>
    <font>
      <b/>
      <sz val="12"/>
      <color theme="0"/>
      <name val="Calibri"/>
      <family val="2"/>
    </font>
    <font>
      <sz val="12"/>
      <color theme="3" tint="0.499984740745262"/>
      <name val="Calibri"/>
      <family val="2"/>
    </font>
    <font>
      <sz val="12"/>
      <color rgb="FF212529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1"/>
      <color rgb="FF00B0F0"/>
      <name val="Calibri"/>
      <family val="2"/>
    </font>
    <font>
      <sz val="12"/>
      <color theme="7"/>
      <name val="Aptos Narrow"/>
      <family val="2"/>
      <scheme val="minor"/>
    </font>
    <font>
      <sz val="12"/>
      <color theme="1"/>
      <name val="Helvetica"/>
      <family val="2"/>
    </font>
    <font>
      <i/>
      <sz val="12"/>
      <color theme="1"/>
      <name val="Aptos Narrow"/>
      <scheme val="minor"/>
    </font>
    <font>
      <sz val="12"/>
      <color theme="1"/>
      <name val="Aptos Display"/>
      <scheme val="major"/>
    </font>
    <font>
      <b/>
      <sz val="12"/>
      <color theme="1"/>
      <name val="Aptos Narrow"/>
      <family val="2"/>
      <scheme val="minor"/>
    </font>
    <font>
      <sz val="12"/>
      <color rgb="FF4D93D9"/>
      <name val="Calibri"/>
      <family val="2"/>
    </font>
    <font>
      <b/>
      <sz val="12"/>
      <color theme="3" tint="0.499984740745262"/>
      <name val="Calibri"/>
      <family val="2"/>
    </font>
    <font>
      <b/>
      <sz val="13.5"/>
      <color theme="1"/>
      <name val="Aptos Narrow"/>
      <family val="2"/>
      <scheme val="minor"/>
    </font>
    <font>
      <b/>
      <sz val="12"/>
      <color theme="9"/>
      <name val="Calibri"/>
      <family val="2"/>
    </font>
    <font>
      <i/>
      <u/>
      <sz val="12"/>
      <color theme="1"/>
      <name val="Aptos Narrow"/>
      <scheme val="minor"/>
    </font>
    <font>
      <i/>
      <u/>
      <sz val="12"/>
      <color theme="1"/>
      <name val="Calibri"/>
      <family val="2"/>
    </font>
    <font>
      <i/>
      <u/>
      <sz val="12"/>
      <color theme="1"/>
      <name val="Aptos Narrow"/>
      <family val="2"/>
      <scheme val="minor"/>
    </font>
    <font>
      <b/>
      <i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000000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19">
    <xf numFmtId="0" fontId="0" fillId="0" borderId="0" xfId="0"/>
    <xf numFmtId="164" fontId="8" fillId="0" borderId="0" xfId="1" applyNumberFormat="1" applyFont="1"/>
    <xf numFmtId="41" fontId="5" fillId="0" borderId="0" xfId="0" applyNumberFormat="1" applyFont="1"/>
    <xf numFmtId="41" fontId="4" fillId="0" borderId="0" xfId="0" applyNumberFormat="1" applyFont="1"/>
    <xf numFmtId="41" fontId="0" fillId="0" borderId="0" xfId="0" applyNumberFormat="1"/>
    <xf numFmtId="41" fontId="6" fillId="0" borderId="0" xfId="0" applyNumberFormat="1" applyFont="1"/>
    <xf numFmtId="41" fontId="7" fillId="0" borderId="0" xfId="0" applyNumberFormat="1" applyFont="1"/>
    <xf numFmtId="41" fontId="1" fillId="0" borderId="0" xfId="0" applyNumberFormat="1" applyFont="1"/>
    <xf numFmtId="41" fontId="2" fillId="0" borderId="0" xfId="0" applyNumberFormat="1" applyFont="1"/>
    <xf numFmtId="41" fontId="7" fillId="0" borderId="1" xfId="0" applyNumberFormat="1" applyFont="1" applyBorder="1"/>
    <xf numFmtId="41" fontId="4" fillId="0" borderId="2" xfId="0" applyNumberFormat="1" applyFont="1" applyBorder="1"/>
    <xf numFmtId="41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2" borderId="0" xfId="0" applyFont="1" applyFill="1"/>
    <xf numFmtId="41" fontId="4" fillId="0" borderId="4" xfId="0" applyNumberFormat="1" applyFont="1" applyBorder="1"/>
    <xf numFmtId="41" fontId="7" fillId="0" borderId="4" xfId="0" applyNumberFormat="1" applyFont="1" applyBorder="1"/>
    <xf numFmtId="41" fontId="14" fillId="2" borderId="0" xfId="0" applyNumberFormat="1" applyFont="1" applyFill="1"/>
    <xf numFmtId="41" fontId="13" fillId="2" borderId="0" xfId="0" applyNumberFormat="1" applyFont="1" applyFill="1"/>
    <xf numFmtId="165" fontId="0" fillId="0" borderId="0" xfId="0" applyNumberFormat="1"/>
    <xf numFmtId="41" fontId="15" fillId="0" borderId="0" xfId="0" applyNumberFormat="1" applyFont="1"/>
    <xf numFmtId="41" fontId="16" fillId="0" borderId="2" xfId="0" applyNumberFormat="1" applyFont="1" applyBorder="1"/>
    <xf numFmtId="167" fontId="12" fillId="2" borderId="0" xfId="0" applyNumberFormat="1" applyFont="1" applyFill="1"/>
    <xf numFmtId="166" fontId="14" fillId="2" borderId="0" xfId="0" applyNumberFormat="1" applyFont="1" applyFill="1"/>
    <xf numFmtId="167" fontId="14" fillId="2" borderId="0" xfId="0" applyNumberFormat="1" applyFont="1" applyFill="1"/>
    <xf numFmtId="41" fontId="17" fillId="0" borderId="0" xfId="0" applyNumberFormat="1" applyFont="1"/>
    <xf numFmtId="41" fontId="17" fillId="0" borderId="4" xfId="0" applyNumberFormat="1" applyFont="1" applyBorder="1"/>
    <xf numFmtId="0" fontId="0" fillId="0" borderId="0" xfId="0" quotePrefix="1"/>
    <xf numFmtId="1" fontId="15" fillId="0" borderId="0" xfId="0" applyNumberFormat="1" applyFont="1"/>
    <xf numFmtId="0" fontId="15" fillId="0" borderId="0" xfId="0" applyFont="1"/>
    <xf numFmtId="43" fontId="15" fillId="0" borderId="0" xfId="0" applyNumberFormat="1" applyFont="1"/>
    <xf numFmtId="43" fontId="10" fillId="0" borderId="3" xfId="0" applyNumberFormat="1" applyFont="1" applyBorder="1"/>
    <xf numFmtId="1" fontId="10" fillId="0" borderId="3" xfId="0" applyNumberFormat="1" applyFont="1" applyBorder="1"/>
    <xf numFmtId="43" fontId="10" fillId="0" borderId="0" xfId="0" applyNumberFormat="1" applyFont="1"/>
    <xf numFmtId="41" fontId="18" fillId="0" borderId="0" xfId="0" applyNumberFormat="1" applyFont="1"/>
    <xf numFmtId="165" fontId="18" fillId="0" borderId="0" xfId="0" applyNumberFormat="1" applyFont="1"/>
    <xf numFmtId="41" fontId="19" fillId="2" borderId="0" xfId="0" applyNumberFormat="1" applyFont="1" applyFill="1"/>
    <xf numFmtId="41" fontId="19" fillId="2" borderId="4" xfId="0" applyNumberFormat="1" applyFont="1" applyFill="1" applyBorder="1"/>
    <xf numFmtId="41" fontId="20" fillId="0" borderId="0" xfId="0" applyNumberFormat="1" applyFont="1"/>
    <xf numFmtId="41" fontId="5" fillId="0" borderId="1" xfId="0" applyNumberFormat="1" applyFont="1" applyBorder="1"/>
    <xf numFmtId="41" fontId="21" fillId="0" borderId="0" xfId="0" applyNumberFormat="1" applyFont="1"/>
    <xf numFmtId="41" fontId="16" fillId="0" borderId="0" xfId="0" applyNumberFormat="1" applyFont="1"/>
    <xf numFmtId="164" fontId="9" fillId="0" borderId="0" xfId="1" applyNumberFormat="1" applyFont="1"/>
    <xf numFmtId="165" fontId="4" fillId="0" borderId="0" xfId="0" applyNumberFormat="1" applyFont="1"/>
    <xf numFmtId="164" fontId="4" fillId="0" borderId="0" xfId="1" applyNumberFormat="1" applyFont="1"/>
    <xf numFmtId="41" fontId="19" fillId="2" borderId="0" xfId="0" applyNumberFormat="1" applyFont="1" applyFill="1" applyAlignment="1">
      <alignment horizontal="right"/>
    </xf>
    <xf numFmtId="41" fontId="19" fillId="2" borderId="4" xfId="0" applyNumberFormat="1" applyFont="1" applyFill="1" applyBorder="1" applyAlignment="1">
      <alignment horizontal="right"/>
    </xf>
    <xf numFmtId="41" fontId="16" fillId="0" borderId="4" xfId="0" applyNumberFormat="1" applyFont="1" applyBorder="1"/>
    <xf numFmtId="164" fontId="8" fillId="0" borderId="4" xfId="1" applyNumberFormat="1" applyFont="1" applyBorder="1"/>
    <xf numFmtId="0" fontId="4" fillId="0" borderId="0" xfId="0" applyFont="1"/>
    <xf numFmtId="0" fontId="14" fillId="2" borderId="0" xfId="0" applyFont="1" applyFill="1"/>
    <xf numFmtId="0" fontId="19" fillId="2" borderId="0" xfId="0" applyFont="1" applyFill="1"/>
    <xf numFmtId="167" fontId="19" fillId="2" borderId="0" xfId="0" applyNumberFormat="1" applyFont="1" applyFill="1"/>
    <xf numFmtId="0" fontId="7" fillId="0" borderId="0" xfId="0" applyFont="1"/>
    <xf numFmtId="43" fontId="16" fillId="0" borderId="0" xfId="0" applyNumberFormat="1" applyFont="1"/>
    <xf numFmtId="41" fontId="5" fillId="0" borderId="3" xfId="0" applyNumberFormat="1" applyFont="1" applyBorder="1"/>
    <xf numFmtId="3" fontId="4" fillId="0" borderId="0" xfId="0" applyNumberFormat="1" applyFont="1"/>
    <xf numFmtId="41" fontId="18" fillId="0" borderId="2" xfId="0" applyNumberFormat="1" applyFont="1" applyBorder="1"/>
    <xf numFmtId="41" fontId="4" fillId="0" borderId="3" xfId="0" applyNumberFormat="1" applyFont="1" applyBorder="1"/>
    <xf numFmtId="41" fontId="7" fillId="0" borderId="3" xfId="0" applyNumberFormat="1" applyFont="1" applyBorder="1"/>
    <xf numFmtId="41" fontId="4" fillId="0" borderId="1" xfId="0" applyNumberFormat="1" applyFont="1" applyBorder="1"/>
    <xf numFmtId="166" fontId="19" fillId="2" borderId="0" xfId="0" applyNumberFormat="1" applyFont="1" applyFill="1"/>
    <xf numFmtId="166" fontId="19" fillId="2" borderId="4" xfId="0" applyNumberFormat="1" applyFont="1" applyFill="1" applyBorder="1"/>
    <xf numFmtId="0" fontId="4" fillId="0" borderId="4" xfId="0" applyFont="1" applyBorder="1"/>
    <xf numFmtId="41" fontId="18" fillId="0" borderId="4" xfId="0" applyNumberFormat="1" applyFont="1" applyBorder="1"/>
    <xf numFmtId="41" fontId="5" fillId="0" borderId="7" xfId="0" applyNumberFormat="1" applyFont="1" applyBorder="1"/>
    <xf numFmtId="41" fontId="18" fillId="0" borderId="12" xfId="0" applyNumberFormat="1" applyFont="1" applyBorder="1"/>
    <xf numFmtId="41" fontId="7" fillId="0" borderId="5" xfId="0" applyNumberFormat="1" applyFont="1" applyBorder="1"/>
    <xf numFmtId="41" fontId="7" fillId="0" borderId="7" xfId="0" applyNumberFormat="1" applyFont="1" applyBorder="1"/>
    <xf numFmtId="41" fontId="4" fillId="0" borderId="7" xfId="0" applyNumberFormat="1" applyFont="1" applyBorder="1"/>
    <xf numFmtId="41" fontId="19" fillId="0" borderId="0" xfId="0" applyNumberFormat="1" applyFont="1"/>
    <xf numFmtId="41" fontId="4" fillId="0" borderId="6" xfId="0" applyNumberFormat="1" applyFont="1" applyBorder="1"/>
    <xf numFmtId="41" fontId="4" fillId="0" borderId="8" xfId="0" applyNumberFormat="1" applyFont="1" applyBorder="1"/>
    <xf numFmtId="41" fontId="7" fillId="0" borderId="8" xfId="0" applyNumberFormat="1" applyFont="1" applyBorder="1"/>
    <xf numFmtId="41" fontId="4" fillId="0" borderId="0" xfId="0" applyNumberFormat="1" applyFont="1" applyAlignment="1">
      <alignment horizontal="center"/>
    </xf>
    <xf numFmtId="41" fontId="4" fillId="0" borderId="4" xfId="0" applyNumberFormat="1" applyFont="1" applyBorder="1" applyAlignment="1">
      <alignment horizontal="center"/>
    </xf>
    <xf numFmtId="41" fontId="22" fillId="0" borderId="0" xfId="0" applyNumberFormat="1" applyFont="1"/>
    <xf numFmtId="41" fontId="4" fillId="0" borderId="9" xfId="0" applyNumberFormat="1" applyFont="1" applyBorder="1"/>
    <xf numFmtId="41" fontId="4" fillId="0" borderId="10" xfId="0" applyNumberFormat="1" applyFont="1" applyBorder="1"/>
    <xf numFmtId="41" fontId="17" fillId="0" borderId="10" xfId="0" applyNumberFormat="1" applyFont="1" applyBorder="1"/>
    <xf numFmtId="41" fontId="4" fillId="0" borderId="11" xfId="0" applyNumberFormat="1" applyFont="1" applyBorder="1"/>
    <xf numFmtId="41" fontId="23" fillId="0" borderId="0" xfId="0" applyNumberFormat="1" applyFont="1"/>
    <xf numFmtId="41" fontId="24" fillId="0" borderId="0" xfId="0" applyNumberFormat="1" applyFont="1"/>
    <xf numFmtId="164" fontId="8" fillId="3" borderId="0" xfId="1" applyNumberFormat="1" applyFont="1" applyFill="1"/>
    <xf numFmtId="164" fontId="8" fillId="3" borderId="4" xfId="1" applyNumberFormat="1" applyFont="1" applyFill="1" applyBorder="1"/>
    <xf numFmtId="164" fontId="8" fillId="0" borderId="0" xfId="1" applyNumberFormat="1" applyFont="1" applyBorder="1"/>
    <xf numFmtId="164" fontId="8" fillId="0" borderId="10" xfId="1" applyNumberFormat="1" applyFont="1" applyBorder="1"/>
    <xf numFmtId="164" fontId="8" fillId="0" borderId="11" xfId="1" applyNumberFormat="1" applyFont="1" applyBorder="1"/>
    <xf numFmtId="164" fontId="4" fillId="3" borderId="0" xfId="1" applyNumberFormat="1" applyFont="1" applyFill="1"/>
    <xf numFmtId="43" fontId="0" fillId="0" borderId="0" xfId="0" applyNumberFormat="1"/>
    <xf numFmtId="4" fontId="0" fillId="0" borderId="0" xfId="0" applyNumberFormat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0" fillId="0" borderId="7" xfId="0" applyFont="1" applyBorder="1"/>
    <xf numFmtId="44" fontId="0" fillId="0" borderId="0" xfId="0" applyNumberFormat="1"/>
    <xf numFmtId="44" fontId="0" fillId="0" borderId="10" xfId="0" applyNumberFormat="1" applyBorder="1"/>
    <xf numFmtId="166" fontId="12" fillId="2" borderId="0" xfId="0" applyNumberFormat="1" applyFont="1" applyFill="1"/>
    <xf numFmtId="3" fontId="15" fillId="0" borderId="0" xfId="0" applyNumberFormat="1" applyFont="1"/>
    <xf numFmtId="4" fontId="25" fillId="0" borderId="0" xfId="0" applyNumberFormat="1" applyFont="1"/>
    <xf numFmtId="0" fontId="25" fillId="0" borderId="0" xfId="0" applyFont="1"/>
    <xf numFmtId="9" fontId="0" fillId="0" borderId="4" xfId="0" applyNumberFormat="1" applyBorder="1"/>
    <xf numFmtId="9" fontId="0" fillId="0" borderId="11" xfId="0" applyNumberFormat="1" applyBorder="1"/>
    <xf numFmtId="166" fontId="10" fillId="0" borderId="3" xfId="0" applyNumberFormat="1" applyFont="1" applyBorder="1"/>
    <xf numFmtId="167" fontId="10" fillId="0" borderId="3" xfId="0" applyNumberFormat="1" applyFont="1" applyBorder="1"/>
    <xf numFmtId="168" fontId="10" fillId="0" borderId="0" xfId="0" applyNumberFormat="1" applyFont="1"/>
    <xf numFmtId="43" fontId="15" fillId="0" borderId="0" xfId="2" applyFont="1"/>
    <xf numFmtId="169" fontId="4" fillId="0" borderId="0" xfId="0" applyNumberFormat="1" applyFont="1"/>
    <xf numFmtId="43" fontId="4" fillId="0" borderId="0" xfId="0" applyNumberFormat="1" applyFont="1"/>
    <xf numFmtId="0" fontId="12" fillId="2" borderId="0" xfId="0" applyFont="1" applyFill="1" applyAlignment="1">
      <alignment horizontal="center"/>
    </xf>
    <xf numFmtId="0" fontId="0" fillId="0" borderId="10" xfId="0" quotePrefix="1" applyBorder="1"/>
    <xf numFmtId="14" fontId="0" fillId="0" borderId="4" xfId="0" applyNumberFormat="1" applyBorder="1"/>
    <xf numFmtId="43" fontId="15" fillId="0" borderId="10" xfId="0" applyNumberFormat="1" applyFont="1" applyBorder="1"/>
    <xf numFmtId="0" fontId="26" fillId="0" borderId="0" xfId="0" applyFont="1"/>
    <xf numFmtId="0" fontId="12" fillId="2" borderId="6" xfId="0" applyFont="1" applyFill="1" applyBorder="1"/>
    <xf numFmtId="0" fontId="12" fillId="2" borderId="7" xfId="0" applyFont="1" applyFill="1" applyBorder="1" applyAlignment="1">
      <alignment horizontal="center"/>
    </xf>
    <xf numFmtId="10" fontId="0" fillId="0" borderId="4" xfId="1" applyNumberFormat="1" applyFont="1" applyBorder="1"/>
    <xf numFmtId="0" fontId="0" fillId="0" borderId="4" xfId="1" applyNumberFormat="1" applyFont="1" applyBorder="1"/>
    <xf numFmtId="170" fontId="0" fillId="0" borderId="11" xfId="0" applyNumberFormat="1" applyBorder="1"/>
    <xf numFmtId="0" fontId="27" fillId="0" borderId="10" xfId="0" applyFont="1" applyBorder="1"/>
    <xf numFmtId="2" fontId="0" fillId="0" borderId="10" xfId="0" applyNumberFormat="1" applyBorder="1"/>
    <xf numFmtId="43" fontId="28" fillId="0" borderId="0" xfId="0" applyNumberFormat="1" applyFont="1"/>
    <xf numFmtId="9" fontId="0" fillId="0" borderId="11" xfId="1" applyFont="1" applyBorder="1"/>
    <xf numFmtId="41" fontId="28" fillId="0" borderId="0" xfId="0" applyNumberFormat="1" applyFont="1"/>
    <xf numFmtId="44" fontId="28" fillId="0" borderId="0" xfId="3" applyFont="1"/>
    <xf numFmtId="0" fontId="1" fillId="0" borderId="0" xfId="0" applyFont="1"/>
    <xf numFmtId="3" fontId="0" fillId="0" borderId="0" xfId="0" applyNumberFormat="1"/>
    <xf numFmtId="41" fontId="30" fillId="0" borderId="0" xfId="0" applyNumberFormat="1" applyFont="1"/>
    <xf numFmtId="41" fontId="31" fillId="0" borderId="0" xfId="0" applyNumberFormat="1" applyFont="1"/>
    <xf numFmtId="9" fontId="4" fillId="0" borderId="0" xfId="1" applyFont="1"/>
    <xf numFmtId="0" fontId="4" fillId="0" borderId="0" xfId="1" applyNumberFormat="1" applyFont="1"/>
    <xf numFmtId="0" fontId="8" fillId="0" borderId="0" xfId="1" applyNumberFormat="1" applyFont="1"/>
    <xf numFmtId="9" fontId="0" fillId="0" borderId="0" xfId="1" applyFont="1"/>
    <xf numFmtId="0" fontId="32" fillId="0" borderId="0" xfId="0" applyFont="1"/>
    <xf numFmtId="0" fontId="29" fillId="0" borderId="0" xfId="0" applyFont="1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164" fontId="7" fillId="0" borderId="0" xfId="0" applyNumberFormat="1" applyFont="1"/>
    <xf numFmtId="164" fontId="29" fillId="0" borderId="0" xfId="0" applyNumberFormat="1" applyFont="1"/>
    <xf numFmtId="41" fontId="29" fillId="0" borderId="0" xfId="0" applyNumberFormat="1" applyFont="1"/>
    <xf numFmtId="9" fontId="29" fillId="0" borderId="0" xfId="0" applyNumberFormat="1" applyFont="1"/>
    <xf numFmtId="41" fontId="11" fillId="0" borderId="0" xfId="0" applyNumberFormat="1" applyFont="1"/>
    <xf numFmtId="9" fontId="7" fillId="0" borderId="0" xfId="1" applyFont="1"/>
    <xf numFmtId="0" fontId="7" fillId="0" borderId="0" xfId="1" applyNumberFormat="1" applyFont="1"/>
    <xf numFmtId="41" fontId="33" fillId="0" borderId="0" xfId="0" applyNumberFormat="1" applyFont="1"/>
    <xf numFmtId="9" fontId="4" fillId="0" borderId="0" xfId="0" applyNumberFormat="1" applyFont="1"/>
    <xf numFmtId="10" fontId="0" fillId="0" borderId="0" xfId="1" applyNumberFormat="1" applyFont="1"/>
    <xf numFmtId="164" fontId="8" fillId="0" borderId="0" xfId="1" applyNumberFormat="1" applyFont="1" applyFill="1"/>
    <xf numFmtId="1" fontId="8" fillId="0" borderId="0" xfId="1" applyNumberFormat="1" applyFont="1" applyFill="1"/>
    <xf numFmtId="1" fontId="8" fillId="0" borderId="4" xfId="1" applyNumberFormat="1" applyFont="1" applyFill="1" applyBorder="1"/>
    <xf numFmtId="164" fontId="0" fillId="3" borderId="0" xfId="0" applyNumberFormat="1" applyFill="1"/>
    <xf numFmtId="41" fontId="7" fillId="0" borderId="13" xfId="0" applyNumberFormat="1" applyFont="1" applyBorder="1"/>
    <xf numFmtId="0" fontId="8" fillId="0" borderId="0" xfId="0" applyFont="1"/>
    <xf numFmtId="41" fontId="7" fillId="0" borderId="6" xfId="0" applyNumberFormat="1" applyFont="1" applyBorder="1"/>
    <xf numFmtId="41" fontId="7" fillId="0" borderId="14" xfId="0" applyNumberFormat="1" applyFont="1" applyBorder="1"/>
    <xf numFmtId="0" fontId="34" fillId="0" borderId="0" xfId="0" applyFont="1"/>
    <xf numFmtId="0" fontId="34" fillId="0" borderId="0" xfId="0" quotePrefix="1" applyFont="1"/>
    <xf numFmtId="0" fontId="35" fillId="0" borderId="0" xfId="0" applyFont="1"/>
    <xf numFmtId="0" fontId="36" fillId="0" borderId="0" xfId="0" applyFont="1"/>
    <xf numFmtId="9" fontId="8" fillId="0" borderId="0" xfId="1" applyFont="1"/>
    <xf numFmtId="9" fontId="8" fillId="0" borderId="4" xfId="1" applyFont="1" applyBorder="1"/>
    <xf numFmtId="41" fontId="5" fillId="0" borderId="15" xfId="0" applyNumberFormat="1" applyFont="1" applyBorder="1"/>
    <xf numFmtId="41" fontId="4" fillId="0" borderId="15" xfId="0" applyNumberFormat="1" applyFont="1" applyBorder="1"/>
    <xf numFmtId="9" fontId="7" fillId="0" borderId="15" xfId="1" applyFont="1" applyBorder="1"/>
    <xf numFmtId="9" fontId="37" fillId="0" borderId="15" xfId="1" applyFont="1" applyBorder="1"/>
    <xf numFmtId="9" fontId="37" fillId="0" borderId="16" xfId="1" applyFont="1" applyBorder="1"/>
    <xf numFmtId="41" fontId="7" fillId="0" borderId="15" xfId="0" applyNumberFormat="1" applyFont="1" applyBorder="1"/>
    <xf numFmtId="164" fontId="4" fillId="0" borderId="15" xfId="1" applyNumberFormat="1" applyFont="1" applyBorder="1"/>
    <xf numFmtId="41" fontId="16" fillId="0" borderId="0" xfId="0" quotePrefix="1" applyNumberFormat="1" applyFont="1"/>
    <xf numFmtId="172" fontId="4" fillId="0" borderId="0" xfId="0" applyNumberFormat="1" applyFont="1"/>
    <xf numFmtId="9" fontId="18" fillId="0" borderId="0" xfId="1" applyFont="1"/>
    <xf numFmtId="41" fontId="4" fillId="0" borderId="17" xfId="0" applyNumberFormat="1" applyFont="1" applyBorder="1"/>
    <xf numFmtId="41" fontId="4" fillId="0" borderId="19" xfId="0" applyNumberFormat="1" applyFont="1" applyBorder="1"/>
    <xf numFmtId="41" fontId="7" fillId="0" borderId="20" xfId="0" applyNumberFormat="1" applyFont="1" applyBorder="1"/>
    <xf numFmtId="41" fontId="4" fillId="0" borderId="5" xfId="0" applyNumberFormat="1" applyFont="1" applyBorder="1"/>
    <xf numFmtId="41" fontId="0" fillId="0" borderId="1" xfId="0" applyNumberFormat="1" applyBorder="1"/>
    <xf numFmtId="9" fontId="4" fillId="0" borderId="17" xfId="1" applyFont="1" applyBorder="1"/>
    <xf numFmtId="9" fontId="4" fillId="0" borderId="17" xfId="0" applyNumberFormat="1" applyFont="1" applyBorder="1"/>
    <xf numFmtId="9" fontId="4" fillId="0" borderId="21" xfId="0" applyNumberFormat="1" applyFont="1" applyBorder="1"/>
    <xf numFmtId="9" fontId="4" fillId="0" borderId="21" xfId="1" applyFont="1" applyBorder="1"/>
    <xf numFmtId="41" fontId="4" fillId="0" borderId="14" xfId="0" applyNumberFormat="1" applyFont="1" applyBorder="1"/>
    <xf numFmtId="9" fontId="4" fillId="0" borderId="22" xfId="0" applyNumberFormat="1" applyFont="1" applyBorder="1"/>
    <xf numFmtId="41" fontId="38" fillId="4" borderId="0" xfId="0" applyNumberFormat="1" applyFont="1" applyFill="1"/>
    <xf numFmtId="41" fontId="38" fillId="4" borderId="4" xfId="0" applyNumberFormat="1" applyFont="1" applyFill="1" applyBorder="1"/>
    <xf numFmtId="9" fontId="6" fillId="0" borderId="0" xfId="1" applyFont="1"/>
    <xf numFmtId="41" fontId="7" fillId="0" borderId="16" xfId="0" applyNumberFormat="1" applyFont="1" applyBorder="1"/>
    <xf numFmtId="41" fontId="18" fillId="0" borderId="23" xfId="0" applyNumberFormat="1" applyFont="1" applyBorder="1"/>
    <xf numFmtId="41" fontId="4" fillId="0" borderId="23" xfId="0" applyNumberFormat="1" applyFont="1" applyBorder="1"/>
    <xf numFmtId="3" fontId="8" fillId="0" borderId="0" xfId="0" applyNumberFormat="1" applyFont="1"/>
    <xf numFmtId="173" fontId="4" fillId="0" borderId="0" xfId="0" applyNumberFormat="1" applyFont="1"/>
    <xf numFmtId="41" fontId="0" fillId="0" borderId="4" xfId="0" applyNumberFormat="1" applyBorder="1"/>
    <xf numFmtId="0" fontId="0" fillId="0" borderId="2" xfId="0" applyBorder="1"/>
    <xf numFmtId="0" fontId="0" fillId="0" borderId="12" xfId="0" applyBorder="1"/>
    <xf numFmtId="41" fontId="0" fillId="0" borderId="5" xfId="0" applyNumberFormat="1" applyBorder="1"/>
    <xf numFmtId="171" fontId="10" fillId="0" borderId="10" xfId="1" applyNumberFormat="1" applyFont="1" applyBorder="1"/>
    <xf numFmtId="171" fontId="10" fillId="0" borderId="11" xfId="1" applyNumberFormat="1" applyFont="1" applyBorder="1"/>
    <xf numFmtId="41" fontId="0" fillId="0" borderId="18" xfId="0" applyNumberFormat="1" applyBorder="1"/>
    <xf numFmtId="41" fontId="0" fillId="0" borderId="19" xfId="0" applyNumberFormat="1" applyBorder="1"/>
    <xf numFmtId="41" fontId="0" fillId="0" borderId="13" xfId="0" applyNumberFormat="1" applyBorder="1"/>
    <xf numFmtId="41" fontId="0" fillId="0" borderId="24" xfId="0" applyNumberFormat="1" applyBorder="1"/>
    <xf numFmtId="41" fontId="0" fillId="0" borderId="25" xfId="0" applyNumberFormat="1" applyBorder="1"/>
    <xf numFmtId="165" fontId="0" fillId="0" borderId="4" xfId="0" applyNumberFormat="1" applyBorder="1"/>
    <xf numFmtId="41" fontId="0" fillId="0" borderId="2" xfId="0" applyNumberFormat="1" applyBorder="1"/>
    <xf numFmtId="41" fontId="0" fillId="0" borderId="12" xfId="0" applyNumberFormat="1" applyBorder="1"/>
    <xf numFmtId="41" fontId="0" fillId="0" borderId="2" xfId="0" applyNumberFormat="1" applyBorder="1" applyAlignment="1">
      <alignment horizontal="center"/>
    </xf>
    <xf numFmtId="41" fontId="0" fillId="0" borderId="12" xfId="0" applyNumberFormat="1" applyBorder="1" applyAlignment="1">
      <alignment horizontal="center"/>
    </xf>
    <xf numFmtId="171" fontId="10" fillId="0" borderId="10" xfId="0" applyNumberFormat="1" applyFont="1" applyBorder="1"/>
    <xf numFmtId="171" fontId="10" fillId="0" borderId="11" xfId="0" applyNumberFormat="1" applyFont="1" applyBorder="1"/>
    <xf numFmtId="0" fontId="0" fillId="0" borderId="0" xfId="3" applyNumberFormat="1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41" fontId="13" fillId="2" borderId="0" xfId="0" applyNumberFormat="1" applyFont="1" applyFill="1" applyAlignment="1">
      <alignment horizontal="center"/>
    </xf>
    <xf numFmtId="41" fontId="1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B2DF-292B-DA40-BCFC-BF03BDAFB209}">
  <dimension ref="A1:O76"/>
  <sheetViews>
    <sheetView showGridLines="0" zoomScale="94" workbookViewId="0">
      <selection activeCell="M10" sqref="M10"/>
    </sheetView>
  </sheetViews>
  <sheetFormatPr baseColWidth="10" defaultColWidth="10.83203125" defaultRowHeight="16" x14ac:dyDescent="0.2"/>
  <cols>
    <col min="1" max="1" width="3.5" style="4" customWidth="1"/>
    <col min="2" max="2" width="53.6640625" style="4" customWidth="1"/>
    <col min="3" max="4" width="9.1640625" style="4" bestFit="1" customWidth="1"/>
    <col min="5" max="7" width="9.33203125" style="4" bestFit="1" customWidth="1"/>
    <col min="8" max="8" width="11" style="4" bestFit="1" customWidth="1"/>
    <col min="9" max="11" width="10.83203125" style="4"/>
    <col min="12" max="12" width="13.1640625" style="4" customWidth="1"/>
    <col min="13" max="13" width="10.83203125" style="4"/>
    <col min="14" max="14" width="8.5" style="4" bestFit="1" customWidth="1"/>
    <col min="15" max="16384" width="10.83203125" style="4"/>
  </cols>
  <sheetData>
    <row r="1" spans="1:15" x14ac:dyDescent="0.2">
      <c r="B1" s="18" t="s">
        <v>0</v>
      </c>
      <c r="C1" s="214" t="s">
        <v>1</v>
      </c>
      <c r="D1" s="214"/>
      <c r="E1" s="214"/>
      <c r="F1" s="214"/>
      <c r="G1" s="214"/>
      <c r="H1" s="214" t="s">
        <v>2</v>
      </c>
      <c r="I1" s="214"/>
      <c r="J1" s="214"/>
      <c r="K1" s="214"/>
      <c r="L1" s="214"/>
    </row>
    <row r="2" spans="1:15" x14ac:dyDescent="0.2">
      <c r="B2" s="17"/>
      <c r="C2" s="23">
        <v>2020</v>
      </c>
      <c r="D2" s="23">
        <f>C2+1</f>
        <v>2021</v>
      </c>
      <c r="E2" s="23">
        <f t="shared" ref="E2:L2" si="0">D2+1</f>
        <v>2022</v>
      </c>
      <c r="F2" s="23">
        <f t="shared" si="0"/>
        <v>2023</v>
      </c>
      <c r="G2" s="23">
        <f t="shared" si="0"/>
        <v>2024</v>
      </c>
      <c r="H2" s="24">
        <f t="shared" si="0"/>
        <v>2025</v>
      </c>
      <c r="I2" s="24">
        <f t="shared" si="0"/>
        <v>2026</v>
      </c>
      <c r="J2" s="24">
        <f t="shared" si="0"/>
        <v>2027</v>
      </c>
      <c r="K2" s="24">
        <f t="shared" si="0"/>
        <v>2028</v>
      </c>
      <c r="L2" s="24">
        <f t="shared" si="0"/>
        <v>2029</v>
      </c>
    </row>
    <row r="3" spans="1:15" x14ac:dyDescent="0.2">
      <c r="B3" s="5" t="s">
        <v>3</v>
      </c>
      <c r="C3" s="6"/>
      <c r="D3" s="6"/>
      <c r="F3" s="6"/>
      <c r="G3" s="2"/>
    </row>
    <row r="4" spans="1:15" x14ac:dyDescent="0.2">
      <c r="B4" s="5" t="s">
        <v>169</v>
      </c>
      <c r="C4" s="34">
        <v>12297</v>
      </c>
      <c r="D4" s="34">
        <v>13737</v>
      </c>
      <c r="E4" s="34">
        <v>14396</v>
      </c>
      <c r="F4" s="34">
        <v>15438</v>
      </c>
      <c r="G4" s="34">
        <v>16662</v>
      </c>
      <c r="H4" s="20">
        <f>'Revenue Build'!H19</f>
        <v>18105.790000000005</v>
      </c>
      <c r="I4" s="20">
        <f>'Revenue Build'!I19</f>
        <v>19502.3298</v>
      </c>
      <c r="J4" s="20">
        <f>'Revenue Build'!J19</f>
        <v>20770.692038000005</v>
      </c>
      <c r="K4" s="20">
        <f>'Revenue Build'!K19</f>
        <v>21934.893438120005</v>
      </c>
      <c r="L4" s="20">
        <f>'Revenue Build'!L19</f>
        <v>22849.176716721602</v>
      </c>
    </row>
    <row r="5" spans="1:15" ht="17" thickBot="1" x14ac:dyDescent="0.25">
      <c r="A5" s="4" t="s">
        <v>4</v>
      </c>
      <c r="B5" s="2" t="s">
        <v>5</v>
      </c>
      <c r="C5" s="9">
        <f t="shared" ref="C5:L5" si="1">SUM(C4:C4)</f>
        <v>12297</v>
      </c>
      <c r="D5" s="9">
        <f t="shared" si="1"/>
        <v>13737</v>
      </c>
      <c r="E5" s="9">
        <f t="shared" si="1"/>
        <v>14396</v>
      </c>
      <c r="F5" s="9">
        <f t="shared" si="1"/>
        <v>15438</v>
      </c>
      <c r="G5" s="9">
        <f t="shared" si="1"/>
        <v>16662</v>
      </c>
      <c r="H5" s="9">
        <f t="shared" si="1"/>
        <v>18105.790000000005</v>
      </c>
      <c r="I5" s="9">
        <f t="shared" si="1"/>
        <v>19502.3298</v>
      </c>
      <c r="J5" s="9">
        <f t="shared" si="1"/>
        <v>20770.692038000005</v>
      </c>
      <c r="K5" s="9">
        <f t="shared" si="1"/>
        <v>21934.893438120005</v>
      </c>
      <c r="L5" s="9">
        <f t="shared" si="1"/>
        <v>22849.176716721602</v>
      </c>
    </row>
    <row r="6" spans="1:15" ht="17" thickTop="1" x14ac:dyDescent="0.2">
      <c r="B6" s="11" t="s">
        <v>6</v>
      </c>
      <c r="C6" s="3"/>
      <c r="D6" s="1">
        <f>(D5/C5)-1</f>
        <v>0.11710173212978781</v>
      </c>
      <c r="E6" s="1">
        <f t="shared" ref="E6:G6" si="2">(E5/D5)-1</f>
        <v>4.797262866710339E-2</v>
      </c>
      <c r="F6" s="1">
        <f t="shared" si="2"/>
        <v>7.2381217004723553E-2</v>
      </c>
      <c r="G6" s="1">
        <f t="shared" si="2"/>
        <v>7.9284881461329171E-2</v>
      </c>
      <c r="H6" s="1">
        <f>(H5/G5)-1</f>
        <v>8.6651662465490498E-2</v>
      </c>
      <c r="I6" s="1">
        <f t="shared" ref="I6" si="3">(I5/H5)-1</f>
        <v>7.7132221239724741E-2</v>
      </c>
      <c r="J6" s="1">
        <f t="shared" ref="J6" si="4">(J5/I5)-1</f>
        <v>6.5036446978760765E-2</v>
      </c>
      <c r="K6" s="1">
        <f t="shared" ref="K6" si="5">(K5/J5)-1</f>
        <v>5.6050197941893032E-2</v>
      </c>
      <c r="L6" s="1">
        <f t="shared" ref="L6" si="6">(L5/K5)-1</f>
        <v>4.1681683167545724E-2</v>
      </c>
    </row>
    <row r="7" spans="1:15" x14ac:dyDescent="0.2">
      <c r="B7" s="5"/>
      <c r="C7" s="3"/>
      <c r="D7" s="3"/>
      <c r="E7" s="3"/>
      <c r="F7" s="3"/>
      <c r="G7" s="3"/>
      <c r="J7" s="7"/>
      <c r="K7" s="7"/>
    </row>
    <row r="8" spans="1:15" x14ac:dyDescent="0.2">
      <c r="B8" s="2" t="s">
        <v>7</v>
      </c>
      <c r="C8" s="3"/>
      <c r="D8" s="3"/>
      <c r="E8" s="5"/>
      <c r="F8" s="5"/>
      <c r="G8" s="5"/>
      <c r="O8" s="4" t="s">
        <v>8</v>
      </c>
    </row>
    <row r="9" spans="1:15" x14ac:dyDescent="0.2">
      <c r="B9" s="5" t="s">
        <v>170</v>
      </c>
      <c r="C9" s="34">
        <v>10560</v>
      </c>
      <c r="D9" s="34">
        <v>11723</v>
      </c>
      <c r="E9" s="34">
        <v>12312</v>
      </c>
      <c r="F9" s="34">
        <v>13194</v>
      </c>
      <c r="G9" s="34">
        <v>13864</v>
      </c>
      <c r="H9" s="20">
        <f>'Expense Build'!G5</f>
        <v>14919.170960000003</v>
      </c>
      <c r="I9" s="20">
        <f>'Expense Build'!H5</f>
        <v>15991.910435999998</v>
      </c>
      <c r="J9" s="20">
        <f>'Expense Build'!I5</f>
        <v>16948.884703008003</v>
      </c>
      <c r="K9" s="20">
        <f>'Expense Build'!J5</f>
        <v>17811.133471753445</v>
      </c>
      <c r="L9" s="20">
        <f>'Expense Build'!K5</f>
        <v>18462.134787111052</v>
      </c>
    </row>
    <row r="10" spans="1:15" x14ac:dyDescent="0.2">
      <c r="B10" s="5" t="s">
        <v>9</v>
      </c>
      <c r="C10" s="34">
        <v>770</v>
      </c>
      <c r="D10" s="34">
        <v>860</v>
      </c>
      <c r="E10" s="34">
        <v>951</v>
      </c>
      <c r="F10" s="34">
        <v>942</v>
      </c>
      <c r="G10" s="34">
        <v>983</v>
      </c>
      <c r="H10" s="20">
        <f>'Expense Build'!G6</f>
        <v>1127.2532505492811</v>
      </c>
      <c r="I10" s="20">
        <f>'Expense Build'!H6</f>
        <v>1214.2007976638472</v>
      </c>
      <c r="J10" s="20">
        <f>'Expense Build'!I6</f>
        <v>1293.1681034626808</v>
      </c>
      <c r="K10" s="20">
        <f>'Expense Build'!J6</f>
        <v>1365.6504316339065</v>
      </c>
      <c r="L10" s="20">
        <f>'Expense Build'!K6</f>
        <v>1422.5730402428931</v>
      </c>
    </row>
    <row r="11" spans="1:15" x14ac:dyDescent="0.2">
      <c r="B11" s="5" t="s">
        <v>171</v>
      </c>
      <c r="C11" s="34">
        <v>-68</v>
      </c>
      <c r="D11" s="34">
        <v>-9</v>
      </c>
      <c r="E11" s="34">
        <v>17</v>
      </c>
      <c r="F11" s="34">
        <v>24</v>
      </c>
      <c r="G11" s="34">
        <v>16</v>
      </c>
      <c r="H11" s="20">
        <f>'Expense Build'!G7</f>
        <v>-4</v>
      </c>
      <c r="I11" s="20">
        <f>'Expense Build'!H7</f>
        <v>8.8000000000000007</v>
      </c>
      <c r="J11" s="20">
        <f>'Expense Build'!I7</f>
        <v>12.36</v>
      </c>
      <c r="K11" s="20">
        <f>'Expense Build'!J7</f>
        <v>11.431999999999999</v>
      </c>
      <c r="L11" s="20">
        <f>'Expense Build'!K7</f>
        <v>8.9184000000000001</v>
      </c>
    </row>
    <row r="12" spans="1:15" x14ac:dyDescent="0.2">
      <c r="B12" s="5" t="s">
        <v>172</v>
      </c>
      <c r="C12" s="34">
        <v>39</v>
      </c>
      <c r="D12" s="34">
        <v>27</v>
      </c>
      <c r="E12" s="34">
        <v>0</v>
      </c>
      <c r="F12" s="34">
        <v>596</v>
      </c>
      <c r="G12" s="34">
        <v>0</v>
      </c>
      <c r="H12" s="20">
        <f>'Expense Build'!G8</f>
        <v>0</v>
      </c>
      <c r="I12" s="20">
        <f>'Expense Build'!H8</f>
        <v>0</v>
      </c>
      <c r="J12" s="20">
        <f>'Expense Build'!I8</f>
        <v>0</v>
      </c>
      <c r="K12" s="20">
        <f>'Expense Build'!J8</f>
        <v>0</v>
      </c>
      <c r="L12" s="20">
        <f>'Expense Build'!K8</f>
        <v>0</v>
      </c>
    </row>
    <row r="13" spans="1:15" x14ac:dyDescent="0.2">
      <c r="B13" s="5" t="s">
        <v>174</v>
      </c>
      <c r="C13" s="34">
        <v>12</v>
      </c>
      <c r="D13" s="34">
        <v>4</v>
      </c>
      <c r="E13" s="34">
        <v>40</v>
      </c>
      <c r="F13" s="34">
        <v>91</v>
      </c>
      <c r="G13" s="34">
        <v>11</v>
      </c>
      <c r="H13" s="20">
        <f>'Expense Build'!G9</f>
        <v>31.6</v>
      </c>
      <c r="I13" s="20">
        <f>'Expense Build'!H9</f>
        <v>35.519999999999996</v>
      </c>
      <c r="J13" s="20">
        <f>'Expense Build'!I9</f>
        <v>41.823999999999998</v>
      </c>
      <c r="K13" s="20">
        <f>'Expense Build'!J9</f>
        <v>42.188800000000001</v>
      </c>
      <c r="L13" s="20">
        <f>'Expense Build'!K9</f>
        <v>32.426560000000002</v>
      </c>
    </row>
    <row r="14" spans="1:15" x14ac:dyDescent="0.2">
      <c r="B14" s="4" t="s">
        <v>173</v>
      </c>
      <c r="C14" s="34">
        <v>-14</v>
      </c>
      <c r="D14" s="34">
        <v>-20</v>
      </c>
      <c r="E14" s="34">
        <v>-12</v>
      </c>
      <c r="F14" s="34">
        <v>-30</v>
      </c>
      <c r="G14" s="34">
        <v>-39</v>
      </c>
      <c r="H14" s="20">
        <f>'Expense Build'!G10</f>
        <v>-23</v>
      </c>
      <c r="I14" s="20">
        <f>'Expense Build'!H10</f>
        <v>-24.8</v>
      </c>
      <c r="J14" s="20">
        <f>'Expense Build'!I10</f>
        <v>-25.76</v>
      </c>
      <c r="K14" s="20">
        <f>'Expense Build'!J10</f>
        <v>-28.512</v>
      </c>
      <c r="L14" s="20">
        <f>'Expense Build'!K10</f>
        <v>-28.214400000000001</v>
      </c>
    </row>
    <row r="15" spans="1:15" x14ac:dyDescent="0.2">
      <c r="B15" s="3" t="s">
        <v>10</v>
      </c>
      <c r="C15" s="10">
        <f>SUM(C9:C14)</f>
        <v>11299</v>
      </c>
      <c r="D15" s="10">
        <f t="shared" ref="D15:G15" si="7">SUM(D9:D14)</f>
        <v>12585</v>
      </c>
      <c r="E15" s="10">
        <f t="shared" si="7"/>
        <v>13308</v>
      </c>
      <c r="F15" s="10">
        <f t="shared" si="7"/>
        <v>14817</v>
      </c>
      <c r="G15" s="10">
        <f t="shared" si="7"/>
        <v>14835</v>
      </c>
      <c r="H15" s="10">
        <f>SUM(H9:H10)</f>
        <v>16046.424210549285</v>
      </c>
      <c r="I15" s="10">
        <f>SUM(I9:I10)</f>
        <v>17206.111233663847</v>
      </c>
      <c r="J15" s="10">
        <f>SUM(J9:J10)</f>
        <v>18242.052806470685</v>
      </c>
      <c r="K15" s="10">
        <f>SUM(K9:K10)</f>
        <v>19176.78390338735</v>
      </c>
      <c r="L15" s="10">
        <f>SUM(L9:L10)</f>
        <v>19884.707827353945</v>
      </c>
    </row>
    <row r="16" spans="1:15" ht="17" thickBot="1" x14ac:dyDescent="0.25">
      <c r="A16" s="4" t="s">
        <v>4</v>
      </c>
      <c r="B16" s="2" t="s">
        <v>11</v>
      </c>
      <c r="C16" s="9">
        <f t="shared" ref="C16:L16" si="8">C5-C15</f>
        <v>998</v>
      </c>
      <c r="D16" s="9">
        <f t="shared" si="8"/>
        <v>1152</v>
      </c>
      <c r="E16" s="9">
        <f t="shared" si="8"/>
        <v>1088</v>
      </c>
      <c r="F16" s="9">
        <f t="shared" si="8"/>
        <v>621</v>
      </c>
      <c r="G16" s="9">
        <f t="shared" si="8"/>
        <v>1827</v>
      </c>
      <c r="H16" s="9">
        <f t="shared" si="8"/>
        <v>2059.3657894507196</v>
      </c>
      <c r="I16" s="9">
        <f t="shared" si="8"/>
        <v>2296.2185663361524</v>
      </c>
      <c r="J16" s="9">
        <f t="shared" si="8"/>
        <v>2528.6392315293197</v>
      </c>
      <c r="K16" s="9">
        <f t="shared" si="8"/>
        <v>2758.1095347326554</v>
      </c>
      <c r="L16" s="9">
        <f t="shared" si="8"/>
        <v>2964.4688893676575</v>
      </c>
    </row>
    <row r="17" spans="1:12" ht="17" thickTop="1" x14ac:dyDescent="0.2">
      <c r="B17" s="11" t="s">
        <v>12</v>
      </c>
      <c r="C17" s="1">
        <f t="shared" ref="C17:L17" si="9">C16/C5</f>
        <v>8.1158006017727907E-2</v>
      </c>
      <c r="D17" s="1">
        <f t="shared" si="9"/>
        <v>8.3861105044769596E-2</v>
      </c>
      <c r="E17" s="1">
        <f t="shared" si="9"/>
        <v>7.557654904140039E-2</v>
      </c>
      <c r="F17" s="1">
        <f t="shared" si="9"/>
        <v>4.0225417800233192E-2</v>
      </c>
      <c r="G17" s="1">
        <f t="shared" si="9"/>
        <v>0.10965070219661505</v>
      </c>
      <c r="H17" s="1">
        <f t="shared" si="9"/>
        <v>0.11374073097339134</v>
      </c>
      <c r="I17" s="1">
        <f t="shared" si="9"/>
        <v>0.11774073097339131</v>
      </c>
      <c r="J17" s="1">
        <f t="shared" si="9"/>
        <v>0.12174073097339132</v>
      </c>
      <c r="K17" s="1">
        <f t="shared" si="9"/>
        <v>0.12574073097339139</v>
      </c>
      <c r="L17" s="1">
        <f t="shared" si="9"/>
        <v>0.12974073097339148</v>
      </c>
    </row>
    <row r="18" spans="1:12" x14ac:dyDescent="0.2">
      <c r="B18" s="2"/>
      <c r="D18" s="3"/>
      <c r="E18" s="44">
        <f>(E16+333)/E5</f>
        <v>9.8707974437343707E-2</v>
      </c>
      <c r="F18" s="44">
        <f>(F16+331)/F5</f>
        <v>6.1666018914367147E-2</v>
      </c>
      <c r="G18" s="44">
        <f>(G16+290)/G5</f>
        <v>0.12705557556115712</v>
      </c>
      <c r="H18" s="4" t="s">
        <v>249</v>
      </c>
    </row>
    <row r="19" spans="1:12" x14ac:dyDescent="0.2">
      <c r="B19" s="5" t="s">
        <v>13</v>
      </c>
      <c r="D19" s="3"/>
      <c r="E19" s="5"/>
      <c r="F19" s="5"/>
      <c r="G19" s="5"/>
    </row>
    <row r="20" spans="1:12" x14ac:dyDescent="0.2">
      <c r="B20" s="5" t="s">
        <v>14</v>
      </c>
      <c r="C20" s="34">
        <v>-179</v>
      </c>
      <c r="D20" s="34">
        <v>-184</v>
      </c>
      <c r="E20" s="34">
        <v>-199</v>
      </c>
      <c r="F20" s="34">
        <v>-212</v>
      </c>
      <c r="G20" s="34">
        <v>-193</v>
      </c>
      <c r="H20" s="20">
        <f>'Expense Build'!G14</f>
        <v>-193.38795107486118</v>
      </c>
      <c r="I20" s="20">
        <f>'Expense Build'!H14</f>
        <v>-193.38795107486118</v>
      </c>
      <c r="J20" s="20">
        <f>'Expense Build'!I14</f>
        <v>-193.38795107486118</v>
      </c>
      <c r="K20" s="20">
        <f>'Expense Build'!J14</f>
        <v>-193.38795107486118</v>
      </c>
      <c r="L20" s="20">
        <f>'Expense Build'!K14</f>
        <v>-193.38795107486118</v>
      </c>
    </row>
    <row r="21" spans="1:12" x14ac:dyDescent="0.2">
      <c r="B21" s="5" t="s">
        <v>15</v>
      </c>
      <c r="C21" s="34">
        <v>-38</v>
      </c>
      <c r="D21" s="34">
        <v>-1</v>
      </c>
      <c r="E21" s="34">
        <v>-3</v>
      </c>
      <c r="F21" s="34">
        <v>-6</v>
      </c>
      <c r="G21" s="34">
        <v>5</v>
      </c>
      <c r="H21" s="20">
        <f>'Expense Build'!G15</f>
        <v>5</v>
      </c>
      <c r="I21" s="20">
        <f>'Expense Build'!H15</f>
        <v>5</v>
      </c>
      <c r="J21" s="20">
        <f>'Expense Build'!I15</f>
        <v>5</v>
      </c>
      <c r="K21" s="20">
        <f>'Expense Build'!J15</f>
        <v>5</v>
      </c>
      <c r="L21" s="20">
        <f>'Expense Build'!K15</f>
        <v>5</v>
      </c>
    </row>
    <row r="22" spans="1:12" x14ac:dyDescent="0.2">
      <c r="B22" s="5" t="s">
        <v>16</v>
      </c>
      <c r="C22" s="10">
        <f>SUM(C20:C21)</f>
        <v>-217</v>
      </c>
      <c r="D22" s="10">
        <f t="shared" ref="D22:G22" si="10">SUM(D20:D21)</f>
        <v>-185</v>
      </c>
      <c r="E22" s="10">
        <f t="shared" si="10"/>
        <v>-202</v>
      </c>
      <c r="F22" s="10">
        <f t="shared" si="10"/>
        <v>-218</v>
      </c>
      <c r="G22" s="10">
        <f t="shared" si="10"/>
        <v>-188</v>
      </c>
      <c r="H22" s="21">
        <f>'Expense Build'!G16</f>
        <v>-188.38795107486118</v>
      </c>
      <c r="I22" s="21">
        <f>'Expense Build'!H16</f>
        <v>-188.38795107486118</v>
      </c>
      <c r="J22" s="21">
        <f>'Expense Build'!I16</f>
        <v>-188.38795107486118</v>
      </c>
      <c r="K22" s="21">
        <f>'Expense Build'!J16</f>
        <v>-188.38795107486118</v>
      </c>
      <c r="L22" s="21">
        <f>'Expense Build'!K16</f>
        <v>-188.38795107486118</v>
      </c>
    </row>
    <row r="23" spans="1:12" ht="17" thickBot="1" x14ac:dyDescent="0.25">
      <c r="A23" s="4" t="s">
        <v>4</v>
      </c>
      <c r="B23" s="2" t="s">
        <v>17</v>
      </c>
      <c r="C23" s="9">
        <f>C16+C22</f>
        <v>781</v>
      </c>
      <c r="D23" s="9">
        <f t="shared" ref="D23:F23" si="11">D16+D22</f>
        <v>967</v>
      </c>
      <c r="E23" s="9">
        <f t="shared" si="11"/>
        <v>886</v>
      </c>
      <c r="F23" s="9">
        <f t="shared" si="11"/>
        <v>403</v>
      </c>
      <c r="G23" s="9">
        <f>G16+G22</f>
        <v>1639</v>
      </c>
      <c r="H23" s="9">
        <f t="shared" ref="H23:L23" si="12">H16+H22</f>
        <v>1870.9778383758585</v>
      </c>
      <c r="I23" s="9">
        <f t="shared" si="12"/>
        <v>2107.8306152612913</v>
      </c>
      <c r="J23" s="9">
        <f t="shared" si="12"/>
        <v>2340.2512804544585</v>
      </c>
      <c r="K23" s="9">
        <f t="shared" si="12"/>
        <v>2569.7215836577943</v>
      </c>
      <c r="L23" s="9">
        <f t="shared" si="12"/>
        <v>2776.0809382927964</v>
      </c>
    </row>
    <row r="24" spans="1:12" ht="17" thickTop="1" x14ac:dyDescent="0.2">
      <c r="B24" s="5"/>
      <c r="C24" s="3"/>
      <c r="D24" s="3"/>
      <c r="E24" s="5"/>
      <c r="F24" s="5"/>
      <c r="G24" s="5"/>
    </row>
    <row r="25" spans="1:12" x14ac:dyDescent="0.2">
      <c r="B25" s="5" t="s">
        <v>18</v>
      </c>
      <c r="C25" s="34">
        <v>-152</v>
      </c>
      <c r="D25" s="34">
        <v>-208</v>
      </c>
      <c r="E25" s="34">
        <v>-193</v>
      </c>
      <c r="F25" s="34">
        <v>-195</v>
      </c>
      <c r="G25" s="34">
        <v>-388</v>
      </c>
      <c r="H25" s="20">
        <f>'Expense Build'!G17</f>
        <v>484.68001845215622</v>
      </c>
      <c r="I25" s="20">
        <f>'Expense Build'!H17</f>
        <v>532.63321062647708</v>
      </c>
      <c r="J25" s="20">
        <f>'Expense Build'!I17</f>
        <v>580.9286348111807</v>
      </c>
      <c r="K25" s="20">
        <f>'Expense Build'!J17</f>
        <v>631.22678422003582</v>
      </c>
      <c r="L25" s="20">
        <f>'Expense Build'!K17</f>
        <v>678.4031624970321</v>
      </c>
    </row>
    <row r="26" spans="1:12" x14ac:dyDescent="0.2">
      <c r="B26" s="5" t="s">
        <v>19</v>
      </c>
      <c r="C26" s="4">
        <f>C23+C25</f>
        <v>629</v>
      </c>
      <c r="D26" s="4">
        <f t="shared" ref="D26:G26" si="13">D23+D25</f>
        <v>759</v>
      </c>
      <c r="E26" s="4">
        <f t="shared" si="13"/>
        <v>693</v>
      </c>
      <c r="F26" s="4">
        <f t="shared" si="13"/>
        <v>208</v>
      </c>
      <c r="G26" s="4">
        <f t="shared" si="13"/>
        <v>1251</v>
      </c>
      <c r="H26" s="3">
        <f t="shared" ref="H26:L26" si="14">H23-H25</f>
        <v>1386.2978199237023</v>
      </c>
      <c r="I26" s="3">
        <f t="shared" si="14"/>
        <v>1575.1974046348141</v>
      </c>
      <c r="J26" s="3">
        <f t="shared" si="14"/>
        <v>1759.3226456432778</v>
      </c>
      <c r="K26" s="3">
        <f t="shared" si="14"/>
        <v>1938.4947994377585</v>
      </c>
      <c r="L26" s="3">
        <f t="shared" si="14"/>
        <v>2097.6777757957643</v>
      </c>
    </row>
    <row r="27" spans="1:12" x14ac:dyDescent="0.2">
      <c r="B27" s="5" t="s">
        <v>20</v>
      </c>
      <c r="C27" s="3">
        <v>1</v>
      </c>
      <c r="D27" s="3">
        <v>6</v>
      </c>
      <c r="E27" s="3">
        <v>8</v>
      </c>
      <c r="F27" s="34">
        <v>9</v>
      </c>
      <c r="G27" s="34">
        <v>-3</v>
      </c>
      <c r="H27" s="4">
        <f>G27</f>
        <v>-3</v>
      </c>
      <c r="I27" s="4">
        <f t="shared" ref="I27:L27" si="15">H27</f>
        <v>-3</v>
      </c>
      <c r="J27" s="4">
        <f t="shared" si="15"/>
        <v>-3</v>
      </c>
      <c r="K27" s="4">
        <f t="shared" si="15"/>
        <v>-3</v>
      </c>
      <c r="L27" s="4">
        <f t="shared" si="15"/>
        <v>-3</v>
      </c>
    </row>
    <row r="28" spans="1:12" ht="17" thickBot="1" x14ac:dyDescent="0.25">
      <c r="A28" s="4" t="s">
        <v>4</v>
      </c>
      <c r="B28" s="2" t="s">
        <v>302</v>
      </c>
      <c r="C28" s="9">
        <f>C26-C27</f>
        <v>628</v>
      </c>
      <c r="D28" s="9">
        <f t="shared" ref="D28:G28" si="16">D26-D27</f>
        <v>753</v>
      </c>
      <c r="E28" s="9">
        <f t="shared" si="16"/>
        <v>685</v>
      </c>
      <c r="F28" s="9">
        <f t="shared" si="16"/>
        <v>199</v>
      </c>
      <c r="G28" s="9">
        <f t="shared" si="16"/>
        <v>1254</v>
      </c>
      <c r="H28" s="9">
        <f>H26-H27</f>
        <v>1389.2978199237023</v>
      </c>
      <c r="I28" s="9">
        <f t="shared" ref="I28:L28" si="17">I26-I27</f>
        <v>1578.1974046348141</v>
      </c>
      <c r="J28" s="9">
        <f t="shared" si="17"/>
        <v>1762.3226456432778</v>
      </c>
      <c r="K28" s="9">
        <f t="shared" si="17"/>
        <v>1941.4947994377585</v>
      </c>
      <c r="L28" s="9">
        <f t="shared" si="17"/>
        <v>2100.6777757957643</v>
      </c>
    </row>
    <row r="29" spans="1:12" ht="17" thickTop="1" x14ac:dyDescent="0.2">
      <c r="B29" s="11" t="s">
        <v>21</v>
      </c>
      <c r="C29" s="1">
        <f t="shared" ref="C29:L29" si="18">C28/C5</f>
        <v>5.1069366512157439E-2</v>
      </c>
      <c r="D29" s="1">
        <f t="shared" si="18"/>
        <v>5.4815461891242631E-2</v>
      </c>
      <c r="E29" s="1">
        <f t="shared" si="18"/>
        <v>4.7582661850514033E-2</v>
      </c>
      <c r="F29" s="1">
        <f t="shared" si="18"/>
        <v>1.28902707604612E-2</v>
      </c>
      <c r="G29" s="1">
        <f t="shared" si="18"/>
        <v>7.5261073100468132E-2</v>
      </c>
      <c r="H29" s="1">
        <f t="shared" si="18"/>
        <v>7.6732239793110488E-2</v>
      </c>
      <c r="I29" s="1">
        <f t="shared" si="18"/>
        <v>8.0923531743105598E-2</v>
      </c>
      <c r="J29" s="1">
        <f t="shared" si="18"/>
        <v>8.48466022421933E-2</v>
      </c>
      <c r="K29" s="1">
        <f t="shared" si="18"/>
        <v>8.8511704190169072E-2</v>
      </c>
      <c r="L29" s="1">
        <f t="shared" si="18"/>
        <v>9.1936694343058567E-2</v>
      </c>
    </row>
    <row r="30" spans="1:12" x14ac:dyDescent="0.2">
      <c r="B30" s="5"/>
      <c r="C30" s="3"/>
      <c r="D30" s="3"/>
      <c r="E30" s="5"/>
      <c r="F30" s="5"/>
      <c r="G30" s="186"/>
    </row>
    <row r="31" spans="1:12" x14ac:dyDescent="0.2">
      <c r="A31" s="4" t="s">
        <v>4</v>
      </c>
      <c r="B31" s="2" t="s">
        <v>303</v>
      </c>
      <c r="C31" s="3"/>
      <c r="D31" s="3"/>
      <c r="E31" s="3"/>
      <c r="F31" s="5"/>
      <c r="G31" s="5"/>
    </row>
    <row r="32" spans="1:12" x14ac:dyDescent="0.2">
      <c r="B32" s="5" t="s">
        <v>22</v>
      </c>
      <c r="C32" s="35">
        <v>4.42</v>
      </c>
      <c r="D32" s="35">
        <v>5.34</v>
      </c>
      <c r="E32" s="35">
        <v>5</v>
      </c>
      <c r="F32" s="35">
        <v>1.45</v>
      </c>
      <c r="G32" s="35">
        <v>9.36</v>
      </c>
      <c r="H32" s="19">
        <f>(H28*1000)/H36</f>
        <v>10.522511781322196</v>
      </c>
      <c r="I32" s="19">
        <f t="shared" ref="I32:L32" si="19">(I28*1000)/I36</f>
        <v>12.129171743163571</v>
      </c>
      <c r="J32" s="19">
        <f t="shared" si="19"/>
        <v>13.743615505895193</v>
      </c>
      <c r="K32" s="19">
        <f t="shared" si="19"/>
        <v>15.363761636836243</v>
      </c>
      <c r="L32" s="19">
        <f t="shared" si="19"/>
        <v>16.868113869478645</v>
      </c>
    </row>
    <row r="33" spans="2:14" x14ac:dyDescent="0.2">
      <c r="B33" s="5" t="s">
        <v>23</v>
      </c>
      <c r="C33" s="35">
        <v>4.3600000000000003</v>
      </c>
      <c r="D33" s="35">
        <v>5.27</v>
      </c>
      <c r="E33" s="35">
        <v>4.96</v>
      </c>
      <c r="F33" s="35">
        <v>1.44</v>
      </c>
      <c r="G33" s="35">
        <v>9.2200000000000006</v>
      </c>
      <c r="H33" s="19">
        <f>(H28*1000)/H37</f>
        <v>10.361435378931063</v>
      </c>
      <c r="I33" s="19">
        <f t="shared" ref="I33:L33" si="20">(I28*1000)/I37</f>
        <v>11.939250859636083</v>
      </c>
      <c r="J33" s="19">
        <f t="shared" si="20"/>
        <v>13.523601298390918</v>
      </c>
      <c r="K33" s="19">
        <f t="shared" si="20"/>
        <v>15.112431735674374</v>
      </c>
      <c r="L33" s="19">
        <f t="shared" si="20"/>
        <v>16.586270557860111</v>
      </c>
    </row>
    <row r="34" spans="2:14" x14ac:dyDescent="0.2">
      <c r="B34" s="5"/>
      <c r="C34" s="35"/>
      <c r="D34" s="172">
        <f>(D33-C33)/D33</f>
        <v>0.17267552182163176</v>
      </c>
      <c r="E34" s="172">
        <f t="shared" ref="E34:G34" si="21">(E33-D33)/E33</f>
        <v>-6.2499999999999924E-2</v>
      </c>
      <c r="F34" s="172">
        <f t="shared" si="21"/>
        <v>-2.4444444444444446</v>
      </c>
      <c r="G34" s="172">
        <f t="shared" si="21"/>
        <v>0.84381778741865521</v>
      </c>
      <c r="H34" s="19"/>
      <c r="I34" s="19"/>
      <c r="J34" s="19"/>
      <c r="K34" s="19"/>
      <c r="L34" s="19"/>
    </row>
    <row r="35" spans="2:14" x14ac:dyDescent="0.2">
      <c r="B35" s="5" t="s">
        <v>24</v>
      </c>
      <c r="C35" s="34"/>
      <c r="D35" s="34"/>
      <c r="E35" s="34"/>
      <c r="F35" s="34"/>
      <c r="G35" s="34"/>
    </row>
    <row r="36" spans="2:14" x14ac:dyDescent="0.2">
      <c r="B36" s="5" t="s">
        <v>22</v>
      </c>
      <c r="C36" s="34">
        <f>C28/C32 * 1000</f>
        <v>142081.44796380092</v>
      </c>
      <c r="D36" s="34">
        <f t="shared" ref="D36:F36" si="22">D28/D32 * 1000</f>
        <v>141011.23595505618</v>
      </c>
      <c r="E36" s="34">
        <f t="shared" si="22"/>
        <v>137000</v>
      </c>
      <c r="F36" s="34">
        <f t="shared" si="22"/>
        <v>137241.37931034481</v>
      </c>
      <c r="G36" s="34">
        <f>G28/G32 * 1000</f>
        <v>133974.35897435897</v>
      </c>
      <c r="H36" s="4">
        <f>G36+G36*$I$39</f>
        <v>132031.00636007378</v>
      </c>
      <c r="I36" s="4">
        <f t="shared" ref="I36:L36" si="23">H36+H36*$I$39</f>
        <v>130115.84286654543</v>
      </c>
      <c r="J36" s="4">
        <f t="shared" si="23"/>
        <v>128228.45959910231</v>
      </c>
      <c r="K36" s="4">
        <f t="shared" si="23"/>
        <v>126368.45359425647</v>
      </c>
      <c r="L36" s="4">
        <f t="shared" si="23"/>
        <v>124535.42773366939</v>
      </c>
    </row>
    <row r="37" spans="2:14" x14ac:dyDescent="0.2">
      <c r="B37" s="5" t="s">
        <v>23</v>
      </c>
      <c r="C37" s="34">
        <f>C28/C33 * 1000</f>
        <v>144036.69724770641</v>
      </c>
      <c r="D37" s="34">
        <f t="shared" ref="D37:G37" si="24">D28/D33 * 1000</f>
        <v>142884.25047438333</v>
      </c>
      <c r="E37" s="34">
        <f t="shared" si="24"/>
        <v>138104.83870967739</v>
      </c>
      <c r="F37" s="34">
        <f t="shared" si="24"/>
        <v>138194.44444444447</v>
      </c>
      <c r="G37" s="34">
        <f t="shared" si="24"/>
        <v>136008.67678958783</v>
      </c>
      <c r="H37" s="4">
        <f>G37+G37*$I$40</f>
        <v>134083.52888526427</v>
      </c>
      <c r="I37" s="4">
        <f t="shared" ref="I37:L37" si="25">H37+H37*$I$40</f>
        <v>132185.63067221778</v>
      </c>
      <c r="J37" s="4">
        <f t="shared" si="25"/>
        <v>130314.59644207085</v>
      </c>
      <c r="K37" s="4">
        <f t="shared" si="25"/>
        <v>128470.04594599227</v>
      </c>
      <c r="L37" s="4">
        <f t="shared" si="25"/>
        <v>126651.60431741954</v>
      </c>
    </row>
    <row r="39" spans="2:14" x14ac:dyDescent="0.2">
      <c r="D39" s="148">
        <f>(D36-C36)/C36</f>
        <v>-7.5323838832034255E-3</v>
      </c>
      <c r="E39" s="148">
        <f t="shared" ref="E39:G40" si="26">(E36-D36)/D36</f>
        <v>-2.8446215139442243E-2</v>
      </c>
      <c r="F39" s="148">
        <f t="shared" si="26"/>
        <v>1.7618927762395001E-3</v>
      </c>
      <c r="G39" s="148">
        <f t="shared" si="26"/>
        <v>-2.3804922046128E-2</v>
      </c>
      <c r="H39" s="4" t="s">
        <v>242</v>
      </c>
      <c r="I39" s="138">
        <f>AVERAGE(D39:G39)</f>
        <v>-1.4505407073133542E-2</v>
      </c>
    </row>
    <row r="40" spans="2:14" x14ac:dyDescent="0.2">
      <c r="D40" s="148">
        <f>(D37-C37)/C37</f>
        <v>-8.0010635854914827E-3</v>
      </c>
      <c r="E40" s="148">
        <f t="shared" si="26"/>
        <v>-3.3449535192563426E-2</v>
      </c>
      <c r="F40" s="148">
        <f t="shared" si="26"/>
        <v>6.4882400648858083E-4</v>
      </c>
      <c r="G40" s="148">
        <f t="shared" si="26"/>
        <v>-1.5816610165796774E-2</v>
      </c>
      <c r="H40" s="4" t="s">
        <v>242</v>
      </c>
      <c r="I40" s="138">
        <f>AVERAGE(D40:G40)</f>
        <v>-1.4154596234340776E-2</v>
      </c>
    </row>
    <row r="41" spans="2:14" x14ac:dyDescent="0.2">
      <c r="K41" s="8"/>
    </row>
    <row r="42" spans="2:14" x14ac:dyDescent="0.2">
      <c r="K42" s="8"/>
    </row>
    <row r="44" spans="2:14" x14ac:dyDescent="0.2">
      <c r="B44" s="198" t="s">
        <v>277</v>
      </c>
      <c r="C44" s="193">
        <v>2020</v>
      </c>
      <c r="D44" s="193">
        <f>C44+1</f>
        <v>2021</v>
      </c>
      <c r="E44" s="193">
        <f t="shared" ref="E44:G44" si="27">D44+1</f>
        <v>2022</v>
      </c>
      <c r="F44" s="193">
        <f t="shared" si="27"/>
        <v>2023</v>
      </c>
      <c r="G44" s="194">
        <f t="shared" si="27"/>
        <v>2024</v>
      </c>
      <c r="I44" s="198" t="s">
        <v>282</v>
      </c>
      <c r="J44" s="193">
        <v>2020</v>
      </c>
      <c r="K44" s="193">
        <f>J44+1</f>
        <v>2021</v>
      </c>
      <c r="L44" s="193">
        <f t="shared" ref="L44:N44" si="28">K44+1</f>
        <v>2022</v>
      </c>
      <c r="M44" s="193">
        <f t="shared" si="28"/>
        <v>2023</v>
      </c>
      <c r="N44" s="194">
        <f t="shared" si="28"/>
        <v>2024</v>
      </c>
    </row>
    <row r="45" spans="2:14" x14ac:dyDescent="0.2">
      <c r="B45" s="199"/>
      <c r="G45" s="192"/>
      <c r="I45" s="199" t="s">
        <v>11</v>
      </c>
      <c r="J45" s="4">
        <f>C16</f>
        <v>998</v>
      </c>
      <c r="K45" s="4">
        <f>D16</f>
        <v>1152</v>
      </c>
      <c r="L45" s="4">
        <f>E16</f>
        <v>1088</v>
      </c>
      <c r="M45" s="4">
        <f>F16</f>
        <v>621</v>
      </c>
      <c r="N45" s="192">
        <f>G16</f>
        <v>1827</v>
      </c>
    </row>
    <row r="46" spans="2:14" x14ac:dyDescent="0.2">
      <c r="B46" s="199" t="s">
        <v>285</v>
      </c>
      <c r="C46" s="4">
        <v>1334</v>
      </c>
      <c r="D46" s="4">
        <v>1031</v>
      </c>
      <c r="E46" s="4">
        <v>992</v>
      </c>
      <c r="F46" s="4">
        <v>1165</v>
      </c>
      <c r="G46" s="192">
        <v>1392</v>
      </c>
      <c r="I46" s="199" t="s">
        <v>284</v>
      </c>
      <c r="J46" s="19">
        <f>(1-'Expense Build'!B26)</f>
        <v>0.8053777208706786</v>
      </c>
      <c r="K46" s="19">
        <f>(1-'Expense Build'!C26)</f>
        <v>0.7849017580144777</v>
      </c>
      <c r="L46" s="19">
        <f>(1-'Expense Build'!D26)</f>
        <v>0.78216704288939054</v>
      </c>
      <c r="M46" s="19">
        <f>(1-'Expense Build'!E26)</f>
        <v>0.5161290322580645</v>
      </c>
      <c r="N46" s="203">
        <f>(1-'Expense Build'!F26)</f>
        <v>0.76327028676021969</v>
      </c>
    </row>
    <row r="47" spans="2:14" ht="17" thickBot="1" x14ac:dyDescent="0.25">
      <c r="B47" s="199" t="s">
        <v>278</v>
      </c>
      <c r="C47" s="4">
        <v>183</v>
      </c>
      <c r="D47" s="4">
        <v>104</v>
      </c>
      <c r="E47" s="4">
        <v>129</v>
      </c>
      <c r="F47" s="4">
        <v>207</v>
      </c>
      <c r="G47" s="192">
        <v>149</v>
      </c>
      <c r="I47" s="200" t="s">
        <v>283</v>
      </c>
      <c r="J47" s="177">
        <f>J45*J46</f>
        <v>803.76696542893728</v>
      </c>
      <c r="K47" s="177">
        <f t="shared" ref="K47:N47" si="29">K45*K46</f>
        <v>904.20682523267828</v>
      </c>
      <c r="L47" s="177">
        <f t="shared" si="29"/>
        <v>850.99774266365694</v>
      </c>
      <c r="M47" s="177">
        <f t="shared" si="29"/>
        <v>320.51612903225805</v>
      </c>
      <c r="N47" s="195">
        <f t="shared" si="29"/>
        <v>1394.4948139109213</v>
      </c>
    </row>
    <row r="48" spans="2:14" ht="18" thickTop="1" thickBot="1" x14ac:dyDescent="0.25">
      <c r="B48" s="200" t="s">
        <v>279</v>
      </c>
      <c r="C48" s="177">
        <f t="shared" ref="C48:D48" si="30">C46-C47</f>
        <v>1151</v>
      </c>
      <c r="D48" s="177">
        <f t="shared" si="30"/>
        <v>927</v>
      </c>
      <c r="E48" s="177">
        <f>E46-E47</f>
        <v>863</v>
      </c>
      <c r="F48" s="177">
        <f t="shared" ref="F48:G48" si="31">F46-F47</f>
        <v>958</v>
      </c>
      <c r="G48" s="195">
        <f t="shared" si="31"/>
        <v>1243</v>
      </c>
      <c r="H48" s="148"/>
      <c r="I48" s="202"/>
      <c r="N48" s="192"/>
    </row>
    <row r="49" spans="2:14" ht="17" thickTop="1" x14ac:dyDescent="0.2">
      <c r="B49" s="199"/>
      <c r="G49" s="192"/>
      <c r="I49" s="198" t="s">
        <v>287</v>
      </c>
      <c r="J49" s="204">
        <f>'Balance Sheet'!C28+'Balance Sheet'!C32</f>
        <v>4744</v>
      </c>
      <c r="K49" s="204">
        <f>'Balance Sheet'!D28+'Balance Sheet'!D32</f>
        <v>5076</v>
      </c>
      <c r="L49" s="204">
        <f>'Balance Sheet'!E28+'Balance Sheet'!E32</f>
        <v>4920</v>
      </c>
      <c r="M49" s="204">
        <f>'Balance Sheet'!F28+'Balance Sheet'!F32</f>
        <v>4682</v>
      </c>
      <c r="N49" s="205">
        <f>'Balance Sheet'!G28+'Balance Sheet'!G32</f>
        <v>4670</v>
      </c>
    </row>
    <row r="50" spans="2:14" ht="17" thickBot="1" x14ac:dyDescent="0.25">
      <c r="B50" s="200" t="s">
        <v>281</v>
      </c>
      <c r="C50" s="177">
        <f>C28</f>
        <v>628</v>
      </c>
      <c r="D50" s="177">
        <f>D28</f>
        <v>753</v>
      </c>
      <c r="E50" s="177">
        <f>E28</f>
        <v>685</v>
      </c>
      <c r="F50" s="177">
        <f t="shared" ref="F50:G50" si="32">F28</f>
        <v>199</v>
      </c>
      <c r="G50" s="195">
        <f t="shared" si="32"/>
        <v>1254</v>
      </c>
      <c r="I50" s="198" t="s">
        <v>288</v>
      </c>
      <c r="J50" s="206">
        <f>'Balance Sheet'!C46</f>
        <v>3871</v>
      </c>
      <c r="K50" s="206">
        <f>'Balance Sheet'!D46</f>
        <v>4344</v>
      </c>
      <c r="L50" s="206">
        <f>'Balance Sheet'!E46</f>
        <v>4353</v>
      </c>
      <c r="M50" s="206">
        <f>'Balance Sheet'!F46</f>
        <v>4258</v>
      </c>
      <c r="N50" s="207">
        <f>'Balance Sheet'!G46</f>
        <v>4460</v>
      </c>
    </row>
    <row r="51" spans="2:14" ht="17" thickTop="1" x14ac:dyDescent="0.2">
      <c r="B51" s="199"/>
      <c r="G51" s="192"/>
      <c r="I51" s="198" t="s">
        <v>289</v>
      </c>
      <c r="J51" s="204">
        <f>'Balance Sheet'!C6</f>
        <v>524</v>
      </c>
      <c r="K51" s="204">
        <f>'Balance Sheet'!D6</f>
        <v>727</v>
      </c>
      <c r="L51" s="204">
        <f>'Balance Sheet'!E6</f>
        <v>516</v>
      </c>
      <c r="M51" s="204">
        <f>'Balance Sheet'!F6</f>
        <v>777</v>
      </c>
      <c r="N51" s="205">
        <f>'Balance Sheet'!G6</f>
        <v>943</v>
      </c>
    </row>
    <row r="52" spans="2:14" ht="17" thickBot="1" x14ac:dyDescent="0.25">
      <c r="B52" s="199"/>
      <c r="G52" s="192"/>
      <c r="H52" s="132"/>
      <c r="I52" s="200" t="s">
        <v>286</v>
      </c>
      <c r="J52" s="177">
        <f>J49+J50-J51</f>
        <v>8091</v>
      </c>
      <c r="K52" s="177">
        <f t="shared" ref="K52:N52" si="33">K49+K50-K51</f>
        <v>8693</v>
      </c>
      <c r="L52" s="177">
        <f t="shared" si="33"/>
        <v>8757</v>
      </c>
      <c r="M52" s="177">
        <f t="shared" si="33"/>
        <v>8163</v>
      </c>
      <c r="N52" s="195">
        <f t="shared" si="33"/>
        <v>8187</v>
      </c>
    </row>
    <row r="53" spans="2:14" ht="17" thickTop="1" x14ac:dyDescent="0.2">
      <c r="B53" s="199"/>
      <c r="G53" s="192"/>
      <c r="I53" s="199"/>
      <c r="N53" s="192"/>
    </row>
    <row r="54" spans="2:14" x14ac:dyDescent="0.2">
      <c r="B54" s="201" t="s">
        <v>280</v>
      </c>
      <c r="C54" s="196">
        <f>C48/C50</f>
        <v>1.8328025477707006</v>
      </c>
      <c r="D54" s="196">
        <f>D48/D50</f>
        <v>1.2310756972111554</v>
      </c>
      <c r="E54" s="196">
        <f>E48/E50</f>
        <v>1.2598540145985402</v>
      </c>
      <c r="F54" s="196">
        <f t="shared" ref="F54:G54" si="34">F48/F50</f>
        <v>4.8140703517587937</v>
      </c>
      <c r="G54" s="197">
        <f t="shared" si="34"/>
        <v>0.99122807017543857</v>
      </c>
      <c r="I54" s="201" t="s">
        <v>282</v>
      </c>
      <c r="J54" s="208">
        <f>J47/J52</f>
        <v>9.9340868301685495E-2</v>
      </c>
      <c r="K54" s="208">
        <f t="shared" ref="K54:N54" si="35">K47/K52</f>
        <v>0.10401550963219582</v>
      </c>
      <c r="L54" s="208">
        <f t="shared" si="35"/>
        <v>9.7179141562596424E-2</v>
      </c>
      <c r="M54" s="208">
        <f t="shared" si="35"/>
        <v>3.9264501902763448E-2</v>
      </c>
      <c r="N54" s="209">
        <f t="shared" si="35"/>
        <v>0.17033037912677676</v>
      </c>
    </row>
    <row r="57" spans="2:14" x14ac:dyDescent="0.2">
      <c r="B57" s="4" t="s">
        <v>291</v>
      </c>
      <c r="C57" s="132">
        <f>J49/J50</f>
        <v>1.2255231206406614</v>
      </c>
      <c r="D57" s="132">
        <f t="shared" ref="D57:G57" si="36">K49/K50</f>
        <v>1.1685082872928176</v>
      </c>
      <c r="E57" s="132">
        <f t="shared" si="36"/>
        <v>1.1302549965541007</v>
      </c>
      <c r="F57" s="132">
        <f t="shared" si="36"/>
        <v>1.099577266322217</v>
      </c>
      <c r="G57" s="132">
        <f t="shared" si="36"/>
        <v>1.047085201793722</v>
      </c>
    </row>
    <row r="58" spans="2:14" x14ac:dyDescent="0.2">
      <c r="B58" s="4" t="s">
        <v>290</v>
      </c>
      <c r="C58" s="132">
        <f>'Balance Sheet'!C10/'Balance Sheet'!C29</f>
        <v>1.1486068111455108</v>
      </c>
      <c r="D58" s="132">
        <f>'Balance Sheet'!D10/'Balance Sheet'!D29</f>
        <v>1.1207804273768969</v>
      </c>
      <c r="E58" s="132">
        <f>'Balance Sheet'!E10/'Balance Sheet'!E29</f>
        <v>0.92297947808462122</v>
      </c>
      <c r="F58" s="132">
        <f>'Balance Sheet'!F10/'Balance Sheet'!F29</f>
        <v>1.3394648829431439</v>
      </c>
      <c r="G58" s="132">
        <f>'Balance Sheet'!G10/'Balance Sheet'!G29</f>
        <v>1.2118226600985222</v>
      </c>
    </row>
    <row r="61" spans="2:14" x14ac:dyDescent="0.2">
      <c r="B61" s="4" t="s">
        <v>292</v>
      </c>
      <c r="C61" s="210">
        <f>C16/-C20</f>
        <v>5.5754189944134076</v>
      </c>
      <c r="D61" s="210">
        <f t="shared" ref="D61:G61" si="37">D16/-D20</f>
        <v>6.2608695652173916</v>
      </c>
      <c r="E61" s="210">
        <f t="shared" si="37"/>
        <v>5.4673366834170851</v>
      </c>
      <c r="F61" s="210">
        <f t="shared" si="37"/>
        <v>2.9292452830188678</v>
      </c>
      <c r="G61" s="210">
        <f t="shared" si="37"/>
        <v>9.4663212435233159</v>
      </c>
    </row>
    <row r="69" spans="3:9" x14ac:dyDescent="0.2">
      <c r="D69" s="4">
        <v>2024</v>
      </c>
      <c r="H69" s="4">
        <v>2020</v>
      </c>
      <c r="I69" s="4">
        <v>2024</v>
      </c>
    </row>
    <row r="70" spans="3:9" x14ac:dyDescent="0.2">
      <c r="D70" s="4" t="s">
        <v>274</v>
      </c>
      <c r="G70" s="4" t="s">
        <v>268</v>
      </c>
      <c r="H70" s="132">
        <f>C9/C4</f>
        <v>0.85874603561844354</v>
      </c>
      <c r="I70" s="132">
        <f>G9/G4</f>
        <v>0.83207298043452171</v>
      </c>
    </row>
    <row r="71" spans="3:9" x14ac:dyDescent="0.2">
      <c r="C71" s="4" t="s">
        <v>273</v>
      </c>
      <c r="D71" s="138">
        <v>5.79E-2</v>
      </c>
      <c r="G71" s="4" t="s">
        <v>269</v>
      </c>
      <c r="H71" s="136">
        <f>C10/C5</f>
        <v>6.2616898430511506E-2</v>
      </c>
      <c r="I71" s="136">
        <f>G10/G5</f>
        <v>5.8996519025327092E-2</v>
      </c>
    </row>
    <row r="72" spans="3:9" x14ac:dyDescent="0.2">
      <c r="C72" s="4" t="s">
        <v>275</v>
      </c>
      <c r="D72" s="148">
        <v>4.8399999999999999E-2</v>
      </c>
    </row>
    <row r="73" spans="3:9" x14ac:dyDescent="0.2">
      <c r="C73" s="4" t="s">
        <v>276</v>
      </c>
      <c r="D73" s="148">
        <v>5.6800000000000003E-2</v>
      </c>
    </row>
    <row r="76" spans="3:9" x14ac:dyDescent="0.2">
      <c r="C76" s="4" t="s">
        <v>242</v>
      </c>
      <c r="D76" s="138">
        <f>AVERAGE(D71:D73)</f>
        <v>5.4366666666666674E-2</v>
      </c>
    </row>
  </sheetData>
  <mergeCells count="2">
    <mergeCell ref="C1:G1"/>
    <mergeCell ref="H1:L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0893-ADA6-5049-A709-3C248B99A280}">
  <dimension ref="A1:L33"/>
  <sheetViews>
    <sheetView showGridLines="0" zoomScale="75" zoomScaleNormal="100" workbookViewId="0">
      <selection activeCell="N26" sqref="N26"/>
    </sheetView>
  </sheetViews>
  <sheetFormatPr baseColWidth="10" defaultColWidth="10.83203125" defaultRowHeight="16" x14ac:dyDescent="0.2"/>
  <cols>
    <col min="1" max="1" width="36.33203125" style="3" bestFit="1" customWidth="1"/>
    <col min="2" max="6" width="9" style="3" bestFit="1" customWidth="1"/>
    <col min="7" max="8" width="9" style="3" customWidth="1"/>
    <col min="9" max="9" width="11" style="3" bestFit="1" customWidth="1"/>
    <col min="10" max="11" width="9" style="3" bestFit="1" customWidth="1"/>
    <col min="12" max="16384" width="10.83203125" style="3"/>
  </cols>
  <sheetData>
    <row r="1" spans="1:11" x14ac:dyDescent="0.2">
      <c r="A1" s="45" t="s">
        <v>39</v>
      </c>
      <c r="B1" s="45"/>
      <c r="C1" s="45"/>
      <c r="D1" s="45" t="s">
        <v>1</v>
      </c>
      <c r="E1" s="45"/>
      <c r="F1" s="46"/>
      <c r="G1" s="45"/>
      <c r="H1" s="45"/>
      <c r="I1" s="45" t="s">
        <v>26</v>
      </c>
      <c r="J1" s="45"/>
      <c r="K1" s="45"/>
    </row>
    <row r="2" spans="1:11" x14ac:dyDescent="0.2">
      <c r="A2" s="45"/>
      <c r="B2" s="45" t="s">
        <v>27</v>
      </c>
      <c r="C2" s="45" t="s">
        <v>28</v>
      </c>
      <c r="D2" s="45" t="s">
        <v>29</v>
      </c>
      <c r="E2" s="45" t="s">
        <v>30</v>
      </c>
      <c r="F2" s="46" t="s">
        <v>31</v>
      </c>
      <c r="G2" s="45" t="s">
        <v>32</v>
      </c>
      <c r="H2" s="45" t="s">
        <v>33</v>
      </c>
      <c r="I2" s="45" t="s">
        <v>34</v>
      </c>
      <c r="J2" s="45" t="s">
        <v>35</v>
      </c>
      <c r="K2" s="45" t="s">
        <v>36</v>
      </c>
    </row>
    <row r="3" spans="1:11" x14ac:dyDescent="0.2">
      <c r="F3" s="15"/>
    </row>
    <row r="4" spans="1:11" x14ac:dyDescent="0.2">
      <c r="A4" s="6" t="s">
        <v>40</v>
      </c>
      <c r="F4" s="15"/>
    </row>
    <row r="5" spans="1:11" x14ac:dyDescent="0.2">
      <c r="A5" s="5" t="s">
        <v>170</v>
      </c>
      <c r="B5" s="3">
        <f>'Income Statement Historical'!C9</f>
        <v>10560</v>
      </c>
      <c r="C5" s="3">
        <f>'Income Statement Historical'!D9</f>
        <v>11723</v>
      </c>
      <c r="D5" s="3">
        <f>'Income Statement Historical'!E9</f>
        <v>12312</v>
      </c>
      <c r="E5" s="3">
        <f>'Income Statement Historical'!F9</f>
        <v>13194</v>
      </c>
      <c r="F5" s="15">
        <f>'Income Statement Historical'!G9</f>
        <v>13864</v>
      </c>
      <c r="G5" s="3">
        <f>G23*G28</f>
        <v>14919.170960000003</v>
      </c>
      <c r="H5" s="3">
        <f t="shared" ref="H5:K5" si="0">H23*H28</f>
        <v>15991.910435999998</v>
      </c>
      <c r="I5" s="3">
        <f t="shared" si="0"/>
        <v>16948.884703008003</v>
      </c>
      <c r="J5" s="3">
        <f t="shared" si="0"/>
        <v>17811.133471753445</v>
      </c>
      <c r="K5" s="3">
        <f t="shared" si="0"/>
        <v>18462.134787111052</v>
      </c>
    </row>
    <row r="6" spans="1:11" x14ac:dyDescent="0.2">
      <c r="A6" s="5" t="s">
        <v>9</v>
      </c>
      <c r="B6" s="3">
        <f>'Income Statement Historical'!C10</f>
        <v>770</v>
      </c>
      <c r="C6" s="3">
        <f>'Income Statement Historical'!D10</f>
        <v>860</v>
      </c>
      <c r="D6" s="3">
        <f>'Income Statement Historical'!E10</f>
        <v>951</v>
      </c>
      <c r="E6" s="3">
        <f>'Income Statement Historical'!F10</f>
        <v>942</v>
      </c>
      <c r="F6" s="15">
        <f>'Income Statement Historical'!G10</f>
        <v>983</v>
      </c>
      <c r="G6" s="3">
        <f>G24*G28</f>
        <v>1127.2532505492811</v>
      </c>
      <c r="H6" s="3">
        <f t="shared" ref="H6:K6" si="1">H24*H28</f>
        <v>1214.2007976638472</v>
      </c>
      <c r="I6" s="3">
        <f t="shared" si="1"/>
        <v>1293.1681034626808</v>
      </c>
      <c r="J6" s="3">
        <f t="shared" si="1"/>
        <v>1365.6504316339065</v>
      </c>
      <c r="K6" s="3">
        <f t="shared" si="1"/>
        <v>1422.5730402428931</v>
      </c>
    </row>
    <row r="7" spans="1:11" x14ac:dyDescent="0.2">
      <c r="A7" s="5" t="s">
        <v>171</v>
      </c>
      <c r="B7" s="3">
        <f>'Income Statement Historical'!C11</f>
        <v>-68</v>
      </c>
      <c r="C7" s="3">
        <f>'Income Statement Historical'!D11</f>
        <v>-9</v>
      </c>
      <c r="D7" s="3">
        <f>'Income Statement Historical'!E11</f>
        <v>17</v>
      </c>
      <c r="E7" s="3">
        <f>'Income Statement Historical'!F11</f>
        <v>24</v>
      </c>
      <c r="F7" s="15">
        <f>'Income Statement Historical'!G11</f>
        <v>16</v>
      </c>
      <c r="G7" s="3">
        <f>AVERAGE(B7:F7)</f>
        <v>-4</v>
      </c>
      <c r="H7" s="3">
        <f t="shared" ref="H7:K7" si="2">AVERAGE(C7:G7)</f>
        <v>8.8000000000000007</v>
      </c>
      <c r="I7" s="3">
        <f t="shared" si="2"/>
        <v>12.36</v>
      </c>
      <c r="J7" s="3">
        <f t="shared" si="2"/>
        <v>11.431999999999999</v>
      </c>
      <c r="K7" s="3">
        <f t="shared" si="2"/>
        <v>8.9184000000000001</v>
      </c>
    </row>
    <row r="8" spans="1:11" x14ac:dyDescent="0.2">
      <c r="A8" s="5" t="s">
        <v>172</v>
      </c>
      <c r="B8" s="3">
        <f>'Income Statement Historical'!C12</f>
        <v>39</v>
      </c>
      <c r="C8" s="3">
        <f>'Income Statement Historical'!D12</f>
        <v>27</v>
      </c>
      <c r="D8" s="3">
        <f>'Income Statement Historical'!E12</f>
        <v>0</v>
      </c>
      <c r="E8" s="3">
        <f>'Income Statement Historical'!F12</f>
        <v>596</v>
      </c>
      <c r="F8" s="15">
        <f>'Income Statement Historical'!G12</f>
        <v>0</v>
      </c>
      <c r="G8" s="3">
        <f>F8</f>
        <v>0</v>
      </c>
      <c r="H8" s="3">
        <f t="shared" ref="H8:K8" si="3">G8</f>
        <v>0</v>
      </c>
      <c r="I8" s="3">
        <f t="shared" si="3"/>
        <v>0</v>
      </c>
      <c r="J8" s="3">
        <f t="shared" si="3"/>
        <v>0</v>
      </c>
      <c r="K8" s="3">
        <f t="shared" si="3"/>
        <v>0</v>
      </c>
    </row>
    <row r="9" spans="1:11" x14ac:dyDescent="0.2">
      <c r="A9" s="5" t="s">
        <v>174</v>
      </c>
      <c r="B9" s="3">
        <f>'Income Statement Historical'!C13</f>
        <v>12</v>
      </c>
      <c r="C9" s="3">
        <f>'Income Statement Historical'!D13</f>
        <v>4</v>
      </c>
      <c r="D9" s="3">
        <f>'Income Statement Historical'!E13</f>
        <v>40</v>
      </c>
      <c r="E9" s="3">
        <f>'Income Statement Historical'!F13</f>
        <v>91</v>
      </c>
      <c r="F9" s="15">
        <f>'Income Statement Historical'!G13</f>
        <v>11</v>
      </c>
      <c r="G9" s="3">
        <f>AVERAGE(B9:F9)</f>
        <v>31.6</v>
      </c>
      <c r="H9" s="3">
        <f t="shared" ref="H9:K9" si="4">AVERAGE(C9:G9)</f>
        <v>35.519999999999996</v>
      </c>
      <c r="I9" s="3">
        <f t="shared" si="4"/>
        <v>41.823999999999998</v>
      </c>
      <c r="J9" s="3">
        <f t="shared" si="4"/>
        <v>42.188800000000001</v>
      </c>
      <c r="K9" s="3">
        <f t="shared" si="4"/>
        <v>32.426560000000002</v>
      </c>
    </row>
    <row r="10" spans="1:11" x14ac:dyDescent="0.2">
      <c r="A10" s="4" t="s">
        <v>173</v>
      </c>
      <c r="B10" s="3">
        <f>'Income Statement Historical'!C14</f>
        <v>-14</v>
      </c>
      <c r="C10" s="3">
        <f>'Income Statement Historical'!D14</f>
        <v>-20</v>
      </c>
      <c r="D10" s="3">
        <f>'Income Statement Historical'!E14</f>
        <v>-12</v>
      </c>
      <c r="E10" s="3">
        <f>'Income Statement Historical'!F14</f>
        <v>-30</v>
      </c>
      <c r="F10" s="15">
        <f>'Income Statement Historical'!G14</f>
        <v>-39</v>
      </c>
      <c r="G10" s="3">
        <f>AVERAGE(B10:F10)</f>
        <v>-23</v>
      </c>
      <c r="H10" s="3">
        <f t="shared" ref="H10:K10" si="5">AVERAGE(C10:G10)</f>
        <v>-24.8</v>
      </c>
      <c r="I10" s="3">
        <f t="shared" si="5"/>
        <v>-25.76</v>
      </c>
      <c r="J10" s="3">
        <f t="shared" si="5"/>
        <v>-28.512</v>
      </c>
      <c r="K10" s="3">
        <f t="shared" si="5"/>
        <v>-28.214400000000001</v>
      </c>
    </row>
    <row r="11" spans="1:11" x14ac:dyDescent="0.2">
      <c r="A11" s="6" t="s">
        <v>41</v>
      </c>
      <c r="B11" s="6">
        <f>SUM(B5:B10)</f>
        <v>11299</v>
      </c>
      <c r="C11" s="6">
        <f>SUM(C5:C10)</f>
        <v>12585</v>
      </c>
      <c r="D11" s="6">
        <f>SUM(D5:D10)</f>
        <v>13308</v>
      </c>
      <c r="E11" s="6">
        <f>SUM(E5:E10)</f>
        <v>14817</v>
      </c>
      <c r="F11" s="16">
        <f>SUM(F5:F10)</f>
        <v>14835</v>
      </c>
      <c r="G11" s="6">
        <f t="shared" ref="G11:K11" si="6">SUM(G5:G10)</f>
        <v>16051.024210549285</v>
      </c>
      <c r="H11" s="6">
        <f t="shared" si="6"/>
        <v>17225.631233663848</v>
      </c>
      <c r="I11" s="6">
        <f t="shared" si="6"/>
        <v>18270.476806470688</v>
      </c>
      <c r="J11" s="6">
        <f t="shared" si="6"/>
        <v>19201.892703387352</v>
      </c>
      <c r="K11" s="6">
        <f t="shared" si="6"/>
        <v>19897.838387353942</v>
      </c>
    </row>
    <row r="12" spans="1:11" x14ac:dyDescent="0.2">
      <c r="F12" s="15"/>
    </row>
    <row r="13" spans="1:11" x14ac:dyDescent="0.2">
      <c r="A13" s="6" t="s">
        <v>42</v>
      </c>
      <c r="F13" s="15"/>
    </row>
    <row r="14" spans="1:11" x14ac:dyDescent="0.2">
      <c r="A14" s="5" t="s">
        <v>14</v>
      </c>
      <c r="B14" s="25">
        <f>'Income Statement Historical'!C20</f>
        <v>-179</v>
      </c>
      <c r="C14" s="25">
        <f>'Income Statement Historical'!D20</f>
        <v>-184</v>
      </c>
      <c r="D14" s="25">
        <f>'Income Statement Historical'!E20</f>
        <v>-199</v>
      </c>
      <c r="E14" s="25">
        <f>'Income Statement Historical'!F20</f>
        <v>-212</v>
      </c>
      <c r="F14" s="26">
        <f>'Income Statement Historical'!G20</f>
        <v>-193</v>
      </c>
      <c r="G14" s="3">
        <f>G25*G31</f>
        <v>-193.38795107486118</v>
      </c>
      <c r="H14" s="3">
        <f t="shared" ref="H14:K14" si="7">H25*H31</f>
        <v>-193.38795107486118</v>
      </c>
      <c r="I14" s="3">
        <f t="shared" si="7"/>
        <v>-193.38795107486118</v>
      </c>
      <c r="J14" s="3">
        <f t="shared" si="7"/>
        <v>-193.38795107486118</v>
      </c>
      <c r="K14" s="3">
        <f t="shared" si="7"/>
        <v>-193.38795107486118</v>
      </c>
    </row>
    <row r="15" spans="1:11" x14ac:dyDescent="0.2">
      <c r="A15" s="5" t="s">
        <v>15</v>
      </c>
      <c r="B15" s="25">
        <f>'Income Statement Historical'!C21</f>
        <v>-38</v>
      </c>
      <c r="C15" s="25">
        <f>'Income Statement Historical'!D21</f>
        <v>-1</v>
      </c>
      <c r="D15" s="25">
        <f>'Income Statement Historical'!E21</f>
        <v>-3</v>
      </c>
      <c r="E15" s="25">
        <f>'Income Statement Historical'!F21</f>
        <v>-6</v>
      </c>
      <c r="F15" s="26">
        <f>'Income Statement Historical'!G21</f>
        <v>5</v>
      </c>
      <c r="G15" s="3">
        <f>F15</f>
        <v>5</v>
      </c>
      <c r="H15" s="3">
        <f t="shared" ref="H15:K15" si="8">G15</f>
        <v>5</v>
      </c>
      <c r="I15" s="3">
        <f t="shared" si="8"/>
        <v>5</v>
      </c>
      <c r="J15" s="3">
        <f t="shared" si="8"/>
        <v>5</v>
      </c>
      <c r="K15" s="3">
        <f t="shared" si="8"/>
        <v>5</v>
      </c>
    </row>
    <row r="16" spans="1:11" x14ac:dyDescent="0.2">
      <c r="A16" s="5" t="s">
        <v>16</v>
      </c>
      <c r="B16" s="3">
        <f>'Income Statement Historical'!C22</f>
        <v>-217</v>
      </c>
      <c r="C16" s="3">
        <f>'Income Statement Historical'!D22</f>
        <v>-185</v>
      </c>
      <c r="D16" s="3">
        <f>'Income Statement Historical'!E22</f>
        <v>-202</v>
      </c>
      <c r="E16" s="3">
        <f>'Income Statement Historical'!F22</f>
        <v>-218</v>
      </c>
      <c r="F16" s="15">
        <f>'Income Statement Historical'!G22</f>
        <v>-188</v>
      </c>
      <c r="G16" s="3">
        <f>SUM(G14:G15)</f>
        <v>-188.38795107486118</v>
      </c>
      <c r="H16" s="3">
        <f t="shared" ref="H16:K16" si="9">SUM(H14:H15)</f>
        <v>-188.38795107486118</v>
      </c>
      <c r="I16" s="3">
        <f t="shared" si="9"/>
        <v>-188.38795107486118</v>
      </c>
      <c r="J16" s="3">
        <f t="shared" si="9"/>
        <v>-188.38795107486118</v>
      </c>
      <c r="K16" s="3">
        <f t="shared" si="9"/>
        <v>-188.38795107486118</v>
      </c>
    </row>
    <row r="17" spans="1:12" x14ac:dyDescent="0.2">
      <c r="A17" s="5" t="s">
        <v>18</v>
      </c>
      <c r="B17" s="25">
        <f>-'Income Statement Historical'!C25</f>
        <v>152</v>
      </c>
      <c r="C17" s="25">
        <f>-'Income Statement Historical'!D25</f>
        <v>208</v>
      </c>
      <c r="D17" s="25">
        <f>-'Income Statement Historical'!E25</f>
        <v>193</v>
      </c>
      <c r="E17" s="25">
        <f>-'Income Statement Historical'!F25</f>
        <v>195</v>
      </c>
      <c r="F17" s="26">
        <f>-'Income Statement Historical'!G25</f>
        <v>388</v>
      </c>
      <c r="G17" s="3">
        <f>G26*G33</f>
        <v>484.68001845215622</v>
      </c>
      <c r="H17" s="3">
        <f t="shared" ref="H17:K17" si="10">H26*H33</f>
        <v>532.63321062647708</v>
      </c>
      <c r="I17" s="3">
        <f t="shared" si="10"/>
        <v>580.9286348111807</v>
      </c>
      <c r="J17" s="3">
        <f t="shared" si="10"/>
        <v>631.22678422003582</v>
      </c>
      <c r="K17" s="3">
        <f t="shared" si="10"/>
        <v>678.4031624970321</v>
      </c>
    </row>
    <row r="18" spans="1:12" x14ac:dyDescent="0.2">
      <c r="A18" s="2" t="s">
        <v>43</v>
      </c>
      <c r="B18" s="6">
        <f>-B16+B17</f>
        <v>369</v>
      </c>
      <c r="C18" s="6">
        <f t="shared" ref="C18:F18" si="11">-C16+C17</f>
        <v>393</v>
      </c>
      <c r="D18" s="6">
        <f t="shared" si="11"/>
        <v>395</v>
      </c>
      <c r="E18" s="6">
        <f t="shared" si="11"/>
        <v>413</v>
      </c>
      <c r="F18" s="16">
        <f t="shared" si="11"/>
        <v>576</v>
      </c>
      <c r="G18" s="6">
        <f t="shared" ref="G18" si="12">-G16+G17</f>
        <v>673.06796952701734</v>
      </c>
      <c r="H18" s="6">
        <f t="shared" ref="H18" si="13">-H16+H17</f>
        <v>721.02116170133831</v>
      </c>
      <c r="I18" s="6">
        <f t="shared" ref="I18" si="14">-I16+I17</f>
        <v>769.31658588604182</v>
      </c>
      <c r="J18" s="6">
        <f t="shared" ref="J18" si="15">-J16+J17</f>
        <v>819.61473529489695</v>
      </c>
      <c r="K18" s="6">
        <f t="shared" ref="K18" si="16">-K16+K17</f>
        <v>866.79111357189322</v>
      </c>
    </row>
    <row r="19" spans="1:12" x14ac:dyDescent="0.2">
      <c r="A19" s="5"/>
      <c r="F19" s="15"/>
    </row>
    <row r="20" spans="1:12" x14ac:dyDescent="0.2">
      <c r="A20" s="2" t="s">
        <v>44</v>
      </c>
      <c r="B20" s="6">
        <f>SUM(B18,B11)</f>
        <v>11668</v>
      </c>
      <c r="C20" s="6">
        <f t="shared" ref="C20:K20" si="17">SUM(C18,C11)</f>
        <v>12978</v>
      </c>
      <c r="D20" s="6">
        <f t="shared" si="17"/>
        <v>13703</v>
      </c>
      <c r="E20" s="6">
        <f t="shared" si="17"/>
        <v>15230</v>
      </c>
      <c r="F20" s="16">
        <f t="shared" si="17"/>
        <v>15411</v>
      </c>
      <c r="G20" s="6">
        <f t="shared" si="17"/>
        <v>16724.092180076303</v>
      </c>
      <c r="H20" s="6">
        <f t="shared" si="17"/>
        <v>17946.652395365185</v>
      </c>
      <c r="I20" s="6">
        <f t="shared" si="17"/>
        <v>19039.793392356729</v>
      </c>
      <c r="J20" s="6">
        <f t="shared" si="17"/>
        <v>20021.507438682249</v>
      </c>
      <c r="K20" s="6">
        <f t="shared" si="17"/>
        <v>20764.629500925836</v>
      </c>
    </row>
    <row r="21" spans="1:12" x14ac:dyDescent="0.2">
      <c r="F21" s="15"/>
    </row>
    <row r="22" spans="1:12" x14ac:dyDescent="0.2">
      <c r="A22" s="2" t="s">
        <v>45</v>
      </c>
      <c r="F22" s="15"/>
    </row>
    <row r="23" spans="1:12" x14ac:dyDescent="0.2">
      <c r="A23" s="3" t="s">
        <v>175</v>
      </c>
      <c r="B23" s="1">
        <f>B5/B28</f>
        <v>0.85874603561844354</v>
      </c>
      <c r="C23" s="1">
        <f t="shared" ref="C23:F23" si="18">C5/C28</f>
        <v>0.85338865836791145</v>
      </c>
      <c r="D23" s="1">
        <f t="shared" si="18"/>
        <v>0.85523756599055289</v>
      </c>
      <c r="E23" s="1">
        <f t="shared" si="18"/>
        <v>0.85464438398756315</v>
      </c>
      <c r="F23" s="48">
        <f t="shared" si="18"/>
        <v>0.83207298043452171</v>
      </c>
      <c r="G23" s="1">
        <v>0.82399999999999995</v>
      </c>
      <c r="H23" s="1">
        <f>G23-0.004</f>
        <v>0.82</v>
      </c>
      <c r="I23" s="1">
        <f t="shared" ref="I23:K23" si="19">H23-0.004</f>
        <v>0.81599999999999995</v>
      </c>
      <c r="J23" s="1">
        <f t="shared" si="19"/>
        <v>0.81199999999999994</v>
      </c>
      <c r="K23" s="1">
        <f t="shared" si="19"/>
        <v>0.80799999999999994</v>
      </c>
    </row>
    <row r="24" spans="1:12" x14ac:dyDescent="0.2">
      <c r="A24" s="3" t="s">
        <v>46</v>
      </c>
      <c r="B24" s="1">
        <f>B6/B28</f>
        <v>6.2616898430511506E-2</v>
      </c>
      <c r="C24" s="1">
        <f t="shared" ref="C24:F24" si="20">C6/C28</f>
        <v>6.2604644391060643E-2</v>
      </c>
      <c r="D24" s="1">
        <f t="shared" si="20"/>
        <v>6.6060016671297586E-2</v>
      </c>
      <c r="E24" s="1">
        <f t="shared" si="20"/>
        <v>6.1018266614846481E-2</v>
      </c>
      <c r="F24" s="48">
        <f t="shared" si="20"/>
        <v>5.8996519025327092E-2</v>
      </c>
      <c r="G24" s="1">
        <f>AVERAGE(B24:F24)</f>
        <v>6.2259269026608666E-2</v>
      </c>
      <c r="H24" s="1">
        <f t="shared" ref="H24:K25" si="21">G24</f>
        <v>6.2259269026608666E-2</v>
      </c>
      <c r="I24" s="1">
        <f t="shared" si="21"/>
        <v>6.2259269026608666E-2</v>
      </c>
      <c r="J24" s="1">
        <f t="shared" si="21"/>
        <v>6.2259269026608666E-2</v>
      </c>
      <c r="K24" s="1">
        <f t="shared" si="21"/>
        <v>6.2259269026608666E-2</v>
      </c>
    </row>
    <row r="25" spans="1:12" x14ac:dyDescent="0.2">
      <c r="A25" s="3" t="s">
        <v>47</v>
      </c>
      <c r="B25" s="1">
        <f>B14/B31</f>
        <v>-2.3705469474241823E-2</v>
      </c>
      <c r="C25" s="1">
        <f t="shared" ref="C25:F25" si="22">C14/C31</f>
        <v>-2.3523395551009973E-2</v>
      </c>
      <c r="D25" s="1">
        <f t="shared" si="22"/>
        <v>-2.5269841269841269E-2</v>
      </c>
      <c r="E25" s="1">
        <f t="shared" si="22"/>
        <v>-2.7511030365948611E-2</v>
      </c>
      <c r="F25" s="48">
        <f t="shared" si="22"/>
        <v>-2.5215573556310426E-2</v>
      </c>
      <c r="G25" s="1">
        <f>AVERAGE(B25:F25)</f>
        <v>-2.5045062043470418E-2</v>
      </c>
      <c r="H25" s="1">
        <f t="shared" si="21"/>
        <v>-2.5045062043470418E-2</v>
      </c>
      <c r="I25" s="1">
        <f t="shared" si="21"/>
        <v>-2.5045062043470418E-2</v>
      </c>
      <c r="J25" s="1">
        <f t="shared" si="21"/>
        <v>-2.5045062043470418E-2</v>
      </c>
      <c r="K25" s="1">
        <f t="shared" si="21"/>
        <v>-2.5045062043470418E-2</v>
      </c>
    </row>
    <row r="26" spans="1:12" x14ac:dyDescent="0.2">
      <c r="A26" s="3" t="s">
        <v>48</v>
      </c>
      <c r="B26" s="1">
        <f>B17/B33</f>
        <v>0.1946222791293214</v>
      </c>
      <c r="C26" s="1">
        <f t="shared" ref="C26:F26" si="23">C17/C33</f>
        <v>0.21509824198552224</v>
      </c>
      <c r="D26" s="1">
        <f t="shared" si="23"/>
        <v>0.21783295711060949</v>
      </c>
      <c r="E26" s="1">
        <f t="shared" si="23"/>
        <v>0.4838709677419355</v>
      </c>
      <c r="F26" s="48">
        <f t="shared" si="23"/>
        <v>0.23672971323978034</v>
      </c>
      <c r="G26" s="1">
        <f>AVERAGE(B26:D26,F26)</f>
        <v>0.21607079786630837</v>
      </c>
      <c r="H26" s="1">
        <f>G26</f>
        <v>0.21607079786630837</v>
      </c>
      <c r="I26" s="1">
        <f t="shared" ref="I26:K26" si="24">H26</f>
        <v>0.21607079786630837</v>
      </c>
      <c r="J26" s="1">
        <f t="shared" si="24"/>
        <v>0.21607079786630837</v>
      </c>
      <c r="K26" s="1">
        <f t="shared" si="24"/>
        <v>0.21607079786630837</v>
      </c>
      <c r="L26" s="3" t="s">
        <v>250</v>
      </c>
    </row>
    <row r="27" spans="1:12" x14ac:dyDescent="0.2">
      <c r="F27" s="15"/>
    </row>
    <row r="28" spans="1:12" x14ac:dyDescent="0.2">
      <c r="A28" s="2" t="s">
        <v>5</v>
      </c>
      <c r="B28" s="25">
        <f>'Income Statement Historical'!C5</f>
        <v>12297</v>
      </c>
      <c r="C28" s="25">
        <f>'Income Statement Historical'!D5</f>
        <v>13737</v>
      </c>
      <c r="D28" s="25">
        <f>'Income Statement Historical'!E5</f>
        <v>14396</v>
      </c>
      <c r="E28" s="25">
        <f>'Income Statement Historical'!F5</f>
        <v>15438</v>
      </c>
      <c r="F28" s="26">
        <f>'Income Statement Historical'!G5</f>
        <v>16662</v>
      </c>
      <c r="G28" s="3">
        <f>'Revenue Build'!H19</f>
        <v>18105.790000000005</v>
      </c>
      <c r="H28" s="3">
        <f>'Revenue Build'!I19</f>
        <v>19502.3298</v>
      </c>
      <c r="I28" s="3">
        <f>'Revenue Build'!J19</f>
        <v>20770.692038000005</v>
      </c>
      <c r="J28" s="3">
        <f>'Revenue Build'!K19</f>
        <v>21934.893438120005</v>
      </c>
      <c r="K28" s="3">
        <f>'Revenue Build'!L19</f>
        <v>22849.176716721602</v>
      </c>
    </row>
    <row r="29" spans="1:12" x14ac:dyDescent="0.2">
      <c r="A29" s="3" t="s">
        <v>49</v>
      </c>
      <c r="B29" s="25">
        <v>4644</v>
      </c>
      <c r="C29" s="25">
        <v>4593</v>
      </c>
      <c r="D29" s="25">
        <v>3928</v>
      </c>
      <c r="E29" s="25">
        <v>4052</v>
      </c>
      <c r="F29" s="26">
        <v>4664</v>
      </c>
      <c r="G29" s="3">
        <f>AVERAGE(B29:F29)</f>
        <v>4376.2</v>
      </c>
      <c r="H29" s="3">
        <f>G29</f>
        <v>4376.2</v>
      </c>
      <c r="I29" s="3">
        <f t="shared" ref="I29:K29" si="25">H29</f>
        <v>4376.2</v>
      </c>
      <c r="J29" s="3">
        <f t="shared" si="25"/>
        <v>4376.2</v>
      </c>
      <c r="K29" s="3">
        <f t="shared" si="25"/>
        <v>4376.2</v>
      </c>
    </row>
    <row r="30" spans="1:12" x14ac:dyDescent="0.2">
      <c r="A30" s="3" t="s">
        <v>50</v>
      </c>
      <c r="B30" s="25">
        <v>2907</v>
      </c>
      <c r="C30" s="25">
        <v>3229</v>
      </c>
      <c r="D30" s="25">
        <v>3947</v>
      </c>
      <c r="E30" s="25">
        <v>3654</v>
      </c>
      <c r="F30" s="26">
        <v>2990</v>
      </c>
      <c r="G30" s="3">
        <f>AVERAGE(B30:F30)</f>
        <v>3345.4</v>
      </c>
      <c r="H30" s="3">
        <f>G30</f>
        <v>3345.4</v>
      </c>
      <c r="I30" s="3">
        <f t="shared" ref="I30:K30" si="26">H30</f>
        <v>3345.4</v>
      </c>
      <c r="J30" s="3">
        <f t="shared" si="26"/>
        <v>3345.4</v>
      </c>
      <c r="K30" s="3">
        <f t="shared" si="26"/>
        <v>3345.4</v>
      </c>
    </row>
    <row r="31" spans="1:12" x14ac:dyDescent="0.2">
      <c r="A31" s="6" t="s">
        <v>51</v>
      </c>
      <c r="B31" s="3">
        <f>SUM(B29:B30)</f>
        <v>7551</v>
      </c>
      <c r="C31" s="3">
        <f t="shared" ref="C31:F31" si="27">SUM(C29:C30)</f>
        <v>7822</v>
      </c>
      <c r="D31" s="3">
        <f t="shared" si="27"/>
        <v>7875</v>
      </c>
      <c r="E31" s="3">
        <f t="shared" si="27"/>
        <v>7706</v>
      </c>
      <c r="F31" s="15">
        <f t="shared" si="27"/>
        <v>7654</v>
      </c>
      <c r="G31" s="3">
        <f>AVERAGE(B31:F31)</f>
        <v>7721.6</v>
      </c>
      <c r="H31" s="3">
        <f>G31</f>
        <v>7721.6</v>
      </c>
      <c r="I31" s="3">
        <f t="shared" ref="I31:K31" si="28">H31</f>
        <v>7721.6</v>
      </c>
      <c r="J31" s="3">
        <f t="shared" si="28"/>
        <v>7721.6</v>
      </c>
      <c r="K31" s="3">
        <f t="shared" si="28"/>
        <v>7721.6</v>
      </c>
    </row>
    <row r="32" spans="1:12" x14ac:dyDescent="0.2">
      <c r="F32" s="15"/>
    </row>
    <row r="33" spans="1:11" x14ac:dyDescent="0.2">
      <c r="A33" s="3" t="s">
        <v>52</v>
      </c>
      <c r="B33" s="41">
        <f>'Income Statement Historical'!C23</f>
        <v>781</v>
      </c>
      <c r="C33" s="41">
        <f>'Income Statement Historical'!D23</f>
        <v>967</v>
      </c>
      <c r="D33" s="41">
        <f>'Income Statement Historical'!E23</f>
        <v>886</v>
      </c>
      <c r="E33" s="41">
        <f>'Income Statement Historical'!F23</f>
        <v>403</v>
      </c>
      <c r="F33" s="47">
        <f>'Income Statement Historical'!G23</f>
        <v>1639</v>
      </c>
      <c r="G33" s="3">
        <f>G28-G11-G16</f>
        <v>2243.1537405255804</v>
      </c>
      <c r="H33" s="3">
        <f t="shared" ref="H33:K33" si="29">H28-H11-H16</f>
        <v>2465.0865174110131</v>
      </c>
      <c r="I33" s="3">
        <f t="shared" si="29"/>
        <v>2688.6031826041781</v>
      </c>
      <c r="J33" s="3">
        <f t="shared" si="29"/>
        <v>2921.3886858075148</v>
      </c>
      <c r="K33" s="3">
        <f t="shared" si="29"/>
        <v>3139.7262804425209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043D-95AB-0640-B48B-2D16A9450A1D}">
  <dimension ref="A1:AI72"/>
  <sheetViews>
    <sheetView showGridLines="0" zoomScale="75" zoomScaleNormal="50" workbookViewId="0">
      <selection activeCell="D23" sqref="D23"/>
    </sheetView>
  </sheetViews>
  <sheetFormatPr baseColWidth="10" defaultColWidth="10.83203125" defaultRowHeight="16" x14ac:dyDescent="0.2"/>
  <cols>
    <col min="1" max="1" width="3.5" style="3" bestFit="1" customWidth="1"/>
    <col min="2" max="2" width="29.1640625" style="3" bestFit="1" customWidth="1"/>
    <col min="3" max="5" width="11.6640625" style="3" bestFit="1" customWidth="1"/>
    <col min="6" max="6" width="8.83203125" style="3" bestFit="1" customWidth="1"/>
    <col min="7" max="7" width="9" style="3" customWidth="1"/>
    <col min="8" max="8" width="8.1640625" style="3" bestFit="1" customWidth="1"/>
    <col min="9" max="15" width="10.83203125" style="3"/>
    <col min="16" max="16" width="33.6640625" style="3" bestFit="1" customWidth="1"/>
    <col min="17" max="21" width="10.83203125" style="3"/>
    <col min="22" max="22" width="15.6640625" style="3" bestFit="1" customWidth="1"/>
    <col min="23" max="16384" width="10.83203125" style="3"/>
  </cols>
  <sheetData>
    <row r="1" spans="1:23" x14ac:dyDescent="0.2">
      <c r="B1" s="36" t="s">
        <v>25</v>
      </c>
      <c r="C1" s="36"/>
      <c r="D1" s="36"/>
      <c r="E1" s="36" t="s">
        <v>1</v>
      </c>
      <c r="F1" s="36"/>
      <c r="G1" s="37"/>
      <c r="H1" s="36"/>
      <c r="I1" s="36"/>
      <c r="J1" s="36" t="s">
        <v>26</v>
      </c>
      <c r="K1" s="36"/>
      <c r="L1" s="36"/>
      <c r="P1" s="184" t="s">
        <v>260</v>
      </c>
      <c r="Q1" s="184"/>
      <c r="R1" s="184"/>
      <c r="S1" s="184" t="s">
        <v>261</v>
      </c>
      <c r="T1" s="184"/>
      <c r="U1" s="185"/>
    </row>
    <row r="2" spans="1:23" x14ac:dyDescent="0.2">
      <c r="B2" s="36"/>
      <c r="C2" s="36" t="s">
        <v>180</v>
      </c>
      <c r="D2" s="36" t="s">
        <v>181</v>
      </c>
      <c r="E2" s="36" t="s">
        <v>29</v>
      </c>
      <c r="F2" s="36" t="s">
        <v>30</v>
      </c>
      <c r="G2" s="37" t="s">
        <v>31</v>
      </c>
      <c r="H2" s="36" t="s">
        <v>32</v>
      </c>
      <c r="I2" s="36" t="s">
        <v>33</v>
      </c>
      <c r="J2" s="36" t="s">
        <v>34</v>
      </c>
      <c r="K2" s="36" t="s">
        <v>35</v>
      </c>
      <c r="L2" s="36" t="s">
        <v>36</v>
      </c>
      <c r="P2" s="184"/>
      <c r="Q2" s="184" t="s">
        <v>262</v>
      </c>
      <c r="R2" s="184" t="s">
        <v>263</v>
      </c>
      <c r="S2" s="184" t="s">
        <v>264</v>
      </c>
      <c r="T2" s="184" t="s">
        <v>265</v>
      </c>
      <c r="U2" s="185" t="s">
        <v>266</v>
      </c>
    </row>
    <row r="3" spans="1:23" x14ac:dyDescent="0.2">
      <c r="A3" s="3">
        <v>1</v>
      </c>
      <c r="B3" s="6" t="s">
        <v>177</v>
      </c>
      <c r="C3" s="146">
        <f>'Revenue Mapping of old segments'!AE7</f>
        <v>5746.815274084548</v>
      </c>
      <c r="D3" s="146">
        <f>'Revenue Mapping of old segments'!AF7</f>
        <v>6517.5523370429883</v>
      </c>
      <c r="E3" s="128">
        <f t="shared" ref="E3:G3" si="0">SUM(E4:E6)</f>
        <v>6701</v>
      </c>
      <c r="F3" s="128">
        <f t="shared" si="0"/>
        <v>7142</v>
      </c>
      <c r="G3" s="128">
        <f t="shared" si="0"/>
        <v>7304</v>
      </c>
      <c r="H3" s="6">
        <f t="shared" ref="H3" si="1">SUM(H4:H6)</f>
        <v>7792.22</v>
      </c>
      <c r="I3" s="6">
        <f t="shared" ref="I3" si="2">SUM(I4:I6)</f>
        <v>8187.0032000000001</v>
      </c>
      <c r="J3" s="6">
        <f t="shared" ref="J3" si="3">SUM(J4:J6)</f>
        <v>8525.0047200000008</v>
      </c>
      <c r="K3" s="6">
        <f t="shared" ref="K3" si="4">SUM(K4:K6)</f>
        <v>8818.6373736000023</v>
      </c>
      <c r="L3" s="6">
        <f t="shared" ref="L3" si="5">SUM(L4:L6)</f>
        <v>9059.6253172560009</v>
      </c>
      <c r="O3" s="3">
        <v>1</v>
      </c>
      <c r="P3" s="3" t="s">
        <v>164</v>
      </c>
      <c r="Q3" s="3">
        <f>SUM(C4,C8,C12,C16)</f>
        <v>6297.2852564353725</v>
      </c>
      <c r="R3" s="3">
        <f t="shared" ref="R3:U5" si="6">SUM(D4,D8,D12,D16)</f>
        <v>6940.0638082676542</v>
      </c>
      <c r="S3" s="3">
        <f t="shared" si="6"/>
        <v>7120</v>
      </c>
      <c r="T3" s="3">
        <f t="shared" si="6"/>
        <v>7577</v>
      </c>
      <c r="U3" s="3">
        <f t="shared" si="6"/>
        <v>7962</v>
      </c>
    </row>
    <row r="4" spans="1:23" x14ac:dyDescent="0.2">
      <c r="B4" s="3" t="s">
        <v>164</v>
      </c>
      <c r="C4" s="146">
        <f>'Revenue Mapping of old segments'!AE8</f>
        <v>3860.9405109578624</v>
      </c>
      <c r="D4" s="146">
        <f>'Revenue Mapping of old segments'!AF8</f>
        <v>4378.7525177387752</v>
      </c>
      <c r="E4" s="38">
        <v>4502</v>
      </c>
      <c r="F4" s="38">
        <v>4799</v>
      </c>
      <c r="G4" s="38">
        <v>5074</v>
      </c>
      <c r="H4" s="3">
        <f>G4*(1+H23)</f>
        <v>5479.92</v>
      </c>
      <c r="I4" s="3">
        <f t="shared" ref="I4:L4" si="7">H4*(1+I23)</f>
        <v>5808.7152000000006</v>
      </c>
      <c r="J4" s="3">
        <f t="shared" si="7"/>
        <v>6099.1509600000009</v>
      </c>
      <c r="K4" s="3">
        <f t="shared" si="7"/>
        <v>6343.1169984000007</v>
      </c>
      <c r="L4" s="3">
        <f t="shared" si="7"/>
        <v>6533.4105083520008</v>
      </c>
      <c r="O4" s="3">
        <v>2</v>
      </c>
      <c r="P4" s="3" t="s">
        <v>165</v>
      </c>
      <c r="Q4" s="3">
        <f t="shared" ref="Q4:Q5" si="8">SUM(C5,C9,C13,C17)</f>
        <v>4411.1646834904404</v>
      </c>
      <c r="R4" s="3">
        <f t="shared" si="6"/>
        <v>4660.0860584327429</v>
      </c>
      <c r="S4" s="3">
        <f t="shared" si="6"/>
        <v>5240</v>
      </c>
      <c r="T4" s="3">
        <f t="shared" si="6"/>
        <v>5734</v>
      </c>
      <c r="U4" s="3">
        <f t="shared" si="6"/>
        <v>6488</v>
      </c>
    </row>
    <row r="5" spans="1:23" x14ac:dyDescent="0.2">
      <c r="B5" s="3" t="s">
        <v>165</v>
      </c>
      <c r="C5" s="146">
        <f>'Revenue Mapping of old segments'!AE9</f>
        <v>1744.3698354705223</v>
      </c>
      <c r="D5" s="146">
        <f>'Revenue Mapping of old segments'!AF9</f>
        <v>1978.3168860685626</v>
      </c>
      <c r="E5" s="38">
        <v>2034</v>
      </c>
      <c r="F5" s="38">
        <v>2212</v>
      </c>
      <c r="G5" s="38">
        <v>2115</v>
      </c>
      <c r="H5" s="3">
        <f t="shared" ref="H5:L6" si="9">G5*(1+H24)</f>
        <v>2199.6</v>
      </c>
      <c r="I5" s="3">
        <f t="shared" si="9"/>
        <v>2265.5879999999997</v>
      </c>
      <c r="J5" s="3">
        <f t="shared" si="9"/>
        <v>2310.8997599999998</v>
      </c>
      <c r="K5" s="3">
        <f t="shared" si="9"/>
        <v>2357.1177551999999</v>
      </c>
      <c r="L5" s="3">
        <f t="shared" si="9"/>
        <v>2404.2601103040001</v>
      </c>
      <c r="O5" s="3">
        <v>3</v>
      </c>
      <c r="P5" s="3" t="s">
        <v>168</v>
      </c>
      <c r="Q5" s="3">
        <f t="shared" si="8"/>
        <v>1488.5500600741877</v>
      </c>
      <c r="R5" s="3">
        <f t="shared" si="6"/>
        <v>2016.850133299602</v>
      </c>
      <c r="S5" s="3">
        <f t="shared" si="6"/>
        <v>1937</v>
      </c>
      <c r="T5" s="3">
        <f t="shared" si="6"/>
        <v>2028</v>
      </c>
      <c r="U5" s="3">
        <f t="shared" si="6"/>
        <v>2126</v>
      </c>
    </row>
    <row r="6" spans="1:23" x14ac:dyDescent="0.2">
      <c r="B6" s="3" t="s">
        <v>168</v>
      </c>
      <c r="C6" s="146">
        <f>'Revenue Mapping of old segments'!AE10</f>
        <v>141.50492765616335</v>
      </c>
      <c r="D6" s="146">
        <f>'Revenue Mapping of old segments'!AF10</f>
        <v>160.48293323565039</v>
      </c>
      <c r="E6" s="38">
        <v>165</v>
      </c>
      <c r="F6" s="38">
        <v>131</v>
      </c>
      <c r="G6" s="38">
        <v>115</v>
      </c>
      <c r="H6" s="3">
        <f t="shared" si="9"/>
        <v>112.7</v>
      </c>
      <c r="I6" s="3">
        <f t="shared" si="9"/>
        <v>112.7</v>
      </c>
      <c r="J6" s="3">
        <f t="shared" si="9"/>
        <v>114.95400000000001</v>
      </c>
      <c r="K6" s="3">
        <f t="shared" si="9"/>
        <v>118.40262000000001</v>
      </c>
      <c r="L6" s="3">
        <f t="shared" si="9"/>
        <v>121.95469860000001</v>
      </c>
      <c r="O6" s="3" t="s">
        <v>258</v>
      </c>
      <c r="V6" s="3" t="s">
        <v>242</v>
      </c>
      <c r="W6" s="3" t="s">
        <v>267</v>
      </c>
    </row>
    <row r="7" spans="1:23" x14ac:dyDescent="0.2">
      <c r="A7" s="3">
        <v>2</v>
      </c>
      <c r="B7" s="6" t="s">
        <v>178</v>
      </c>
      <c r="C7" s="146">
        <f>'Revenue Mapping of old segments'!AE11</f>
        <v>3264.6671012076613</v>
      </c>
      <c r="D7" s="146">
        <f>'Revenue Mapping of old segments'!AF11</f>
        <v>3144.1569260971378</v>
      </c>
      <c r="E7" s="128">
        <f t="shared" ref="E7:G7" si="10">SUM(E8:E10)</f>
        <v>3913</v>
      </c>
      <c r="F7" s="128">
        <f t="shared" si="10"/>
        <v>4202</v>
      </c>
      <c r="G7" s="128">
        <f t="shared" si="10"/>
        <v>4994</v>
      </c>
      <c r="H7" s="6">
        <f t="shared" ref="H7" si="11">SUM(H8:H10)</f>
        <v>5679.3600000000006</v>
      </c>
      <c r="I7" s="6">
        <f t="shared" ref="I7" si="12">SUM(I8:I10)</f>
        <v>6341.0156999999999</v>
      </c>
      <c r="J7" s="6">
        <f t="shared" ref="J7" si="13">SUM(J8:J10)</f>
        <v>6977.1477060000016</v>
      </c>
      <c r="K7" s="6">
        <f t="shared" ref="K7" si="14">SUM(K8:K10)</f>
        <v>7571.8099263600025</v>
      </c>
      <c r="L7" s="6">
        <f t="shared" ref="L7" si="15">SUM(L8:L10)</f>
        <v>8032.6433345544028</v>
      </c>
      <c r="O7" s="3">
        <v>1</v>
      </c>
      <c r="P7" s="3" t="s">
        <v>164</v>
      </c>
      <c r="R7" s="129">
        <f>(R3-Q3)/Q3</f>
        <v>0.10207232571772229</v>
      </c>
      <c r="S7" s="129">
        <f t="shared" ref="S7:T7" si="16">(S3-R3)/R3</f>
        <v>2.5927166767254931E-2</v>
      </c>
      <c r="T7" s="129">
        <f t="shared" si="16"/>
        <v>6.4185393258426968E-2</v>
      </c>
      <c r="U7" s="129">
        <f t="shared" ref="U7" si="17">(U3-T3)/T3</f>
        <v>5.0811666886630594E-2</v>
      </c>
      <c r="V7" s="147">
        <f>AVERAGE(R7:U7)</f>
        <v>6.0749138157508695E-2</v>
      </c>
      <c r="W7" s="147">
        <f>AVERAGE(T7:U7)</f>
        <v>5.7498530072528781E-2</v>
      </c>
    </row>
    <row r="8" spans="1:23" x14ac:dyDescent="0.2">
      <c r="B8" s="3" t="s">
        <v>164</v>
      </c>
      <c r="C8" s="146">
        <f>'Revenue Mapping of old segments'!AE12</f>
        <v>873.52579988868399</v>
      </c>
      <c r="D8" s="146">
        <f>'Revenue Mapping of old segments'!AF12</f>
        <v>841.28093575867683</v>
      </c>
      <c r="E8" s="38">
        <v>1047</v>
      </c>
      <c r="F8" s="38">
        <v>1059</v>
      </c>
      <c r="G8" s="38">
        <v>1032</v>
      </c>
      <c r="H8" s="3">
        <f>G8*(1+H27)</f>
        <v>1052.6400000000001</v>
      </c>
      <c r="I8" s="3">
        <f t="shared" ref="I8:L8" si="18">H8*(1+I27)</f>
        <v>1073.6928</v>
      </c>
      <c r="J8" s="3">
        <f t="shared" si="18"/>
        <v>1084.4297280000001</v>
      </c>
      <c r="K8" s="3">
        <f t="shared" si="18"/>
        <v>1095.2740252800002</v>
      </c>
      <c r="L8" s="3">
        <f t="shared" si="18"/>
        <v>1106.2267655328001</v>
      </c>
      <c r="O8" s="3">
        <v>2</v>
      </c>
      <c r="P8" s="3" t="s">
        <v>165</v>
      </c>
      <c r="R8" s="129">
        <f t="shared" ref="R8:T9" si="19">(R4-Q4)/Q4</f>
        <v>5.6429853066682023E-2</v>
      </c>
      <c r="S8" s="129">
        <f t="shared" si="19"/>
        <v>0.12444275369504461</v>
      </c>
      <c r="T8" s="129">
        <f t="shared" si="19"/>
        <v>9.427480916030534E-2</v>
      </c>
      <c r="U8" s="129">
        <f t="shared" ref="U8" si="20">(U4-T4)/U4</f>
        <v>0.11621454993834772</v>
      </c>
      <c r="V8" s="147">
        <f t="shared" ref="V8:V9" si="21">AVERAGE(R8:U8)</f>
        <v>9.7840491465094923E-2</v>
      </c>
      <c r="W8" s="147">
        <f t="shared" ref="W8:W9" si="22">AVERAGE(T8:U8)</f>
        <v>0.10524467954932654</v>
      </c>
    </row>
    <row r="9" spans="1:23" x14ac:dyDescent="0.2">
      <c r="B9" s="3" t="s">
        <v>165</v>
      </c>
      <c r="C9" s="146">
        <f>'Revenue Mapping of old segments'!AE13</f>
        <v>2338.5795769703745</v>
      </c>
      <c r="D9" s="146">
        <f>'Revenue Mapping of old segments'!AF13</f>
        <v>2252.2545013673084</v>
      </c>
      <c r="E9" s="38">
        <v>2803</v>
      </c>
      <c r="F9" s="38">
        <v>3082</v>
      </c>
      <c r="G9" s="38">
        <v>3899</v>
      </c>
      <c r="H9" s="3">
        <f t="shared" ref="H9:L9" si="23">G9*(1+H28)</f>
        <v>4561.83</v>
      </c>
      <c r="I9" s="3">
        <f t="shared" si="23"/>
        <v>5200.4862000000003</v>
      </c>
      <c r="J9" s="3">
        <f t="shared" si="23"/>
        <v>5824.5445440000012</v>
      </c>
      <c r="K9" s="3">
        <f t="shared" si="23"/>
        <v>6406.9989984000022</v>
      </c>
      <c r="L9" s="3">
        <f t="shared" si="23"/>
        <v>6855.4889282880031</v>
      </c>
      <c r="O9" s="3">
        <v>4</v>
      </c>
      <c r="P9" s="3" t="s">
        <v>168</v>
      </c>
      <c r="R9" s="129">
        <f t="shared" si="19"/>
        <v>0.35490917463607802</v>
      </c>
      <c r="S9" s="129">
        <f t="shared" si="19"/>
        <v>-3.9591505576552589E-2</v>
      </c>
      <c r="T9" s="129">
        <f t="shared" si="19"/>
        <v>4.6979865771812082E-2</v>
      </c>
      <c r="U9" s="129">
        <f t="shared" ref="U9" si="24">(U5-T5)/U5</f>
        <v>4.6095954844778929E-2</v>
      </c>
      <c r="V9" s="147">
        <f t="shared" si="21"/>
        <v>0.1020983724190291</v>
      </c>
      <c r="W9" s="147">
        <f t="shared" si="22"/>
        <v>4.6537910308295502E-2</v>
      </c>
    </row>
    <row r="10" spans="1:23" x14ac:dyDescent="0.2">
      <c r="B10" s="3" t="s">
        <v>168</v>
      </c>
      <c r="C10" s="146">
        <f>'Revenue Mapping of old segments'!AE14</f>
        <v>52.561724348602773</v>
      </c>
      <c r="D10" s="146">
        <f>'Revenue Mapping of old segments'!AF14</f>
        <v>50.621488971152488</v>
      </c>
      <c r="E10" s="38">
        <v>63</v>
      </c>
      <c r="F10" s="38">
        <v>61</v>
      </c>
      <c r="G10" s="38">
        <v>63</v>
      </c>
      <c r="H10" s="3">
        <f t="shared" ref="H10:L10" si="25">G10*(1+H29)</f>
        <v>64.89</v>
      </c>
      <c r="I10" s="3">
        <f t="shared" si="25"/>
        <v>66.836700000000008</v>
      </c>
      <c r="J10" s="3">
        <f t="shared" si="25"/>
        <v>68.173434000000015</v>
      </c>
      <c r="K10" s="3">
        <f t="shared" si="25"/>
        <v>69.536902680000011</v>
      </c>
      <c r="L10" s="3">
        <f t="shared" si="25"/>
        <v>70.927640733600015</v>
      </c>
    </row>
    <row r="11" spans="1:23" x14ac:dyDescent="0.2">
      <c r="A11" s="3">
        <v>3</v>
      </c>
      <c r="B11" s="6" t="s">
        <v>179</v>
      </c>
      <c r="C11" s="146">
        <f>'Revenue Mapping of old segments'!AE15</f>
        <v>1375.2547030868252</v>
      </c>
      <c r="D11" s="146">
        <f>'Revenue Mapping of old segments'!AF15</f>
        <v>1974.8300477067557</v>
      </c>
      <c r="E11" s="128">
        <f t="shared" ref="E11:G11" si="26">SUM(E12:E14)</f>
        <v>1876</v>
      </c>
      <c r="F11" s="128">
        <f t="shared" si="26"/>
        <v>2116</v>
      </c>
      <c r="G11" s="128">
        <f t="shared" si="26"/>
        <v>2248</v>
      </c>
      <c r="H11" s="6">
        <f t="shared" ref="H11" si="27">SUM(H12:H14)</f>
        <v>2475.9700000000003</v>
      </c>
      <c r="I11" s="6">
        <f t="shared" ref="I11" si="28">SUM(I12:I14)</f>
        <v>2695.0880000000002</v>
      </c>
      <c r="J11" s="6">
        <f t="shared" ref="J11" si="29">SUM(J12:J14)</f>
        <v>2881.1338920000007</v>
      </c>
      <c r="K11" s="6">
        <f t="shared" ref="K11" si="30">SUM(K12:K14)</f>
        <v>3041.7338001600006</v>
      </c>
      <c r="L11" s="6">
        <f t="shared" ref="L11" si="31">SUM(L12:L14)</f>
        <v>3157.3582421112005</v>
      </c>
    </row>
    <row r="12" spans="1:23" x14ac:dyDescent="0.2">
      <c r="B12" s="3" t="s">
        <v>164</v>
      </c>
      <c r="C12" s="146">
        <f>'Revenue Mapping of old segments'!AE16</f>
        <v>30.056206197526556</v>
      </c>
      <c r="D12" s="146">
        <f>'Revenue Mapping of old segments'!AF16</f>
        <v>43.159931746256383</v>
      </c>
      <c r="E12" s="38">
        <v>41</v>
      </c>
      <c r="F12" s="38">
        <v>35</v>
      </c>
      <c r="G12" s="38">
        <v>44</v>
      </c>
      <c r="H12" s="3">
        <f>G12*(1+H31)</f>
        <v>47.080000000000005</v>
      </c>
      <c r="I12" s="3">
        <f t="shared" ref="I12:L12" si="32">H12*(1+I31)</f>
        <v>49.904800000000009</v>
      </c>
      <c r="J12" s="3">
        <f t="shared" si="32"/>
        <v>52.400040000000011</v>
      </c>
      <c r="K12" s="3">
        <f t="shared" si="32"/>
        <v>55.020042000000011</v>
      </c>
      <c r="L12" s="3">
        <f t="shared" si="32"/>
        <v>57.220843680000016</v>
      </c>
    </row>
    <row r="13" spans="1:23" x14ac:dyDescent="0.2">
      <c r="B13" s="3" t="s">
        <v>165</v>
      </c>
      <c r="C13" s="146">
        <f>'Revenue Mapping of old segments'!AE17</f>
        <v>205.99497418304793</v>
      </c>
      <c r="D13" s="146">
        <f>'Revenue Mapping of old segments'!AF17</f>
        <v>295.80343465117187</v>
      </c>
      <c r="E13" s="38">
        <v>281</v>
      </c>
      <c r="F13" s="38">
        <v>319</v>
      </c>
      <c r="G13" s="38">
        <v>379</v>
      </c>
      <c r="H13" s="3">
        <f t="shared" ref="H13:L14" si="33">G13*(1+H32)</f>
        <v>439.64</v>
      </c>
      <c r="I13" s="3">
        <f t="shared" si="33"/>
        <v>496.79319999999996</v>
      </c>
      <c r="J13" s="3">
        <f t="shared" si="33"/>
        <v>551.44045200000005</v>
      </c>
      <c r="K13" s="3">
        <f t="shared" si="33"/>
        <v>595.55568816000005</v>
      </c>
      <c r="L13" s="3">
        <f t="shared" si="33"/>
        <v>637.24458633120014</v>
      </c>
    </row>
    <row r="14" spans="1:23" x14ac:dyDescent="0.2">
      <c r="B14" s="3" t="s">
        <v>168</v>
      </c>
      <c r="C14" s="146">
        <f>'Revenue Mapping of old segments'!AE18</f>
        <v>1139.2035227062506</v>
      </c>
      <c r="D14" s="146">
        <f>'Revenue Mapping of old segments'!AF18</f>
        <v>1635.8666813093275</v>
      </c>
      <c r="E14" s="38">
        <v>1554</v>
      </c>
      <c r="F14" s="38">
        <v>1762</v>
      </c>
      <c r="G14" s="38">
        <v>1825</v>
      </c>
      <c r="H14" s="3">
        <f t="shared" si="33"/>
        <v>1989.2500000000002</v>
      </c>
      <c r="I14" s="3">
        <f t="shared" si="33"/>
        <v>2148.3900000000003</v>
      </c>
      <c r="J14" s="3">
        <f t="shared" si="33"/>
        <v>2277.2934000000005</v>
      </c>
      <c r="K14" s="3">
        <f t="shared" si="33"/>
        <v>2391.1580700000004</v>
      </c>
      <c r="L14" s="3">
        <f t="shared" si="33"/>
        <v>2462.8928121000004</v>
      </c>
    </row>
    <row r="15" spans="1:23" x14ac:dyDescent="0.2">
      <c r="A15" s="3">
        <v>4</v>
      </c>
      <c r="B15" s="6" t="s">
        <v>176</v>
      </c>
      <c r="C15" s="146">
        <f>'Revenue Mapping of old segments'!AE19</f>
        <v>1810.2629216209662</v>
      </c>
      <c r="D15" s="146">
        <f>'Revenue Mapping of old segments'!AF19</f>
        <v>1980.4606891531184</v>
      </c>
      <c r="E15" s="128">
        <f t="shared" ref="E15:G15" si="34">SUM(E16:E18)</f>
        <v>1807</v>
      </c>
      <c r="F15" s="128">
        <f t="shared" si="34"/>
        <v>1879</v>
      </c>
      <c r="G15" s="128">
        <f t="shared" si="34"/>
        <v>2030</v>
      </c>
      <c r="H15" s="6">
        <f t="shared" ref="H15" si="35">SUM(H16:H18)</f>
        <v>2158.2400000000002</v>
      </c>
      <c r="I15" s="6">
        <f t="shared" ref="I15" si="36">SUM(I16:I18)</f>
        <v>2279.2229000000007</v>
      </c>
      <c r="J15" s="6">
        <f t="shared" ref="J15" si="37">SUM(J16:J18)</f>
        <v>2387.4057200000011</v>
      </c>
      <c r="K15" s="6">
        <f t="shared" ref="K15" si="38">SUM(K16:K18)</f>
        <v>2502.7123380000012</v>
      </c>
      <c r="L15" s="6">
        <f t="shared" ref="L15" si="39">SUM(L16:L18)</f>
        <v>2599.549822800001</v>
      </c>
    </row>
    <row r="16" spans="1:23" x14ac:dyDescent="0.2">
      <c r="B16" s="3" t="s">
        <v>164</v>
      </c>
      <c r="C16" s="146">
        <f>'Revenue Mapping of old segments'!AE20</f>
        <v>1532.7627393912994</v>
      </c>
      <c r="D16" s="146">
        <f>'Revenue Mapping of old segments'!AF20</f>
        <v>1676.8704230239464</v>
      </c>
      <c r="E16" s="38">
        <v>1530</v>
      </c>
      <c r="F16" s="38">
        <v>1684</v>
      </c>
      <c r="G16" s="127">
        <v>1812</v>
      </c>
      <c r="H16" s="3">
        <f>G16*(1+H35)</f>
        <v>1938.8400000000001</v>
      </c>
      <c r="I16" s="3">
        <f t="shared" ref="I16:L16" si="40">H16*(1+I35)</f>
        <v>2055.1704000000004</v>
      </c>
      <c r="J16" s="3">
        <f t="shared" si="40"/>
        <v>2157.9289200000007</v>
      </c>
      <c r="K16" s="3">
        <f t="shared" si="40"/>
        <v>2265.8253660000009</v>
      </c>
      <c r="L16" s="3">
        <f t="shared" si="40"/>
        <v>2356.458380640001</v>
      </c>
    </row>
    <row r="17" spans="1:35" x14ac:dyDescent="0.2">
      <c r="B17" s="3" t="s">
        <v>165</v>
      </c>
      <c r="C17" s="146">
        <f>'Revenue Mapping of old segments'!AE21</f>
        <v>122.22029686649576</v>
      </c>
      <c r="D17" s="146">
        <f>'Revenue Mapping of old segments'!AF21</f>
        <v>133.71123634570029</v>
      </c>
      <c r="E17" s="38">
        <v>122</v>
      </c>
      <c r="F17" s="38">
        <v>121</v>
      </c>
      <c r="G17" s="38">
        <v>95</v>
      </c>
      <c r="H17" s="3">
        <f t="shared" ref="H17:L17" si="41">G17*(1+H36)</f>
        <v>90.25</v>
      </c>
      <c r="I17" s="3">
        <f t="shared" si="41"/>
        <v>88.444999999999993</v>
      </c>
      <c r="J17" s="3">
        <f t="shared" si="41"/>
        <v>88.444999999999993</v>
      </c>
      <c r="K17" s="3">
        <f t="shared" si="41"/>
        <v>90.213899999999995</v>
      </c>
      <c r="L17" s="3">
        <f t="shared" si="41"/>
        <v>92.018177999999992</v>
      </c>
    </row>
    <row r="18" spans="1:35" x14ac:dyDescent="0.2">
      <c r="B18" s="3" t="s">
        <v>168</v>
      </c>
      <c r="C18" s="146">
        <f>'Revenue Mapping of old segments'!AE22</f>
        <v>155.27988536317085</v>
      </c>
      <c r="D18" s="146">
        <f>'Revenue Mapping of old segments'!AF22</f>
        <v>169.87902978347168</v>
      </c>
      <c r="E18" s="38">
        <v>155</v>
      </c>
      <c r="F18" s="38">
        <v>74</v>
      </c>
      <c r="G18" s="38">
        <v>123</v>
      </c>
      <c r="H18" s="3">
        <f t="shared" ref="H18:L18" si="42">G18*(1+H37)</f>
        <v>129.15</v>
      </c>
      <c r="I18" s="3">
        <f t="shared" si="42"/>
        <v>135.60750000000002</v>
      </c>
      <c r="J18" s="3">
        <f t="shared" si="42"/>
        <v>141.03180000000003</v>
      </c>
      <c r="K18" s="3">
        <f t="shared" si="42"/>
        <v>146.67307200000005</v>
      </c>
      <c r="L18" s="3">
        <f t="shared" si="42"/>
        <v>151.07326416000006</v>
      </c>
    </row>
    <row r="19" spans="1:35" ht="17" thickBot="1" x14ac:dyDescent="0.25">
      <c r="A19" s="3" t="s">
        <v>4</v>
      </c>
      <c r="B19" s="6" t="s">
        <v>37</v>
      </c>
      <c r="C19" s="9">
        <f>'Revenue Mapping of old segments'!AE23</f>
        <v>12197</v>
      </c>
      <c r="D19" s="9">
        <f>'Revenue Mapping of old segments'!AF23</f>
        <v>13617</v>
      </c>
      <c r="E19" s="39">
        <f>SUM(E3,E7,E11,E15)</f>
        <v>14297</v>
      </c>
      <c r="F19" s="39">
        <f t="shared" ref="F19:L19" si="43">SUM(F3,F7,F11,F15)</f>
        <v>15339</v>
      </c>
      <c r="G19" s="39">
        <f t="shared" si="43"/>
        <v>16576</v>
      </c>
      <c r="H19" s="39">
        <f t="shared" si="43"/>
        <v>18105.790000000005</v>
      </c>
      <c r="I19" s="39">
        <f t="shared" si="43"/>
        <v>19502.3298</v>
      </c>
      <c r="J19" s="39">
        <f t="shared" si="43"/>
        <v>20770.692038000005</v>
      </c>
      <c r="K19" s="39">
        <f t="shared" si="43"/>
        <v>21934.893438120005</v>
      </c>
      <c r="L19" s="39">
        <f t="shared" si="43"/>
        <v>22849.176716721602</v>
      </c>
      <c r="T19"/>
      <c r="U19"/>
      <c r="V19"/>
      <c r="W19"/>
      <c r="X19"/>
      <c r="Y19"/>
      <c r="AA19"/>
      <c r="AB19"/>
      <c r="AC19"/>
      <c r="AD19"/>
      <c r="AE19"/>
      <c r="AF19"/>
      <c r="AG19"/>
      <c r="AH19"/>
      <c r="AI19"/>
    </row>
    <row r="20" spans="1:35" ht="17" thickTop="1" x14ac:dyDescent="0.2"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129"/>
      <c r="T20"/>
      <c r="U20"/>
      <c r="V20"/>
      <c r="W20"/>
      <c r="X20"/>
      <c r="Y20"/>
      <c r="AA20"/>
      <c r="AB20"/>
      <c r="AC20"/>
      <c r="AD20"/>
      <c r="AE20"/>
      <c r="AF20"/>
      <c r="AG20"/>
      <c r="AH20"/>
      <c r="AI20"/>
    </row>
    <row r="21" spans="1:35" x14ac:dyDescent="0.2">
      <c r="A21" s="3" t="s">
        <v>4</v>
      </c>
      <c r="B21" s="6" t="s">
        <v>38</v>
      </c>
      <c r="T21"/>
      <c r="U21"/>
      <c r="V21"/>
      <c r="W21"/>
      <c r="X21"/>
      <c r="Y21"/>
      <c r="AA21"/>
      <c r="AB21"/>
      <c r="AC21"/>
      <c r="AD21"/>
      <c r="AE21"/>
      <c r="AF21"/>
      <c r="AG21"/>
      <c r="AH21"/>
      <c r="AI21"/>
    </row>
    <row r="22" spans="1:35" ht="17" thickBot="1" x14ac:dyDescent="0.25">
      <c r="B22" s="163" t="s">
        <v>208</v>
      </c>
      <c r="C22" s="164"/>
      <c r="D22" s="165">
        <f>(D3-C3)/C3</f>
        <v>0.13411551027820648</v>
      </c>
      <c r="E22" s="165">
        <f>(E3-D3)/D3</f>
        <v>2.8146711137918057E-2</v>
      </c>
      <c r="F22" s="166">
        <f>(F3-E3)/E3</f>
        <v>6.5811072974182955E-2</v>
      </c>
      <c r="G22" s="167">
        <f>(G3-F3)/F3</f>
        <v>2.2682721926631195E-2</v>
      </c>
      <c r="H22" s="166">
        <f t="shared" ref="H22:L22" si="44">(H3-G3)/G3</f>
        <v>6.6842825848849985E-2</v>
      </c>
      <c r="I22" s="166">
        <f t="shared" si="44"/>
        <v>5.0663764626768734E-2</v>
      </c>
      <c r="J22" s="166">
        <f t="shared" si="44"/>
        <v>4.128513349060383E-2</v>
      </c>
      <c r="K22" s="166">
        <f t="shared" si="44"/>
        <v>3.4443693961966684E-2</v>
      </c>
      <c r="L22" s="166">
        <f t="shared" si="44"/>
        <v>2.7327117948792685E-2</v>
      </c>
      <c r="M22"/>
      <c r="T22"/>
      <c r="U22"/>
      <c r="V22"/>
      <c r="W22"/>
      <c r="X22"/>
      <c r="Y22"/>
      <c r="AA22"/>
      <c r="AB22"/>
      <c r="AC22"/>
      <c r="AD22"/>
      <c r="AE22"/>
      <c r="AF22"/>
      <c r="AG22"/>
      <c r="AH22"/>
      <c r="AI22"/>
    </row>
    <row r="23" spans="1:35" ht="17" thickTop="1" x14ac:dyDescent="0.2">
      <c r="B23" s="3" t="s">
        <v>164</v>
      </c>
      <c r="C23" s="44"/>
      <c r="D23" s="129">
        <f t="shared" ref="D23:E23" si="45">(D4-C4)/C4</f>
        <v>0.13411551027820642</v>
      </c>
      <c r="E23" s="129">
        <f t="shared" si="45"/>
        <v>2.8146711137918085E-2</v>
      </c>
      <c r="F23" s="161">
        <f t="shared" ref="F23:G23" si="46">(F4-E4)/E4</f>
        <v>6.5970679697912038E-2</v>
      </c>
      <c r="G23" s="162">
        <f t="shared" si="46"/>
        <v>5.7303604917691188E-2</v>
      </c>
      <c r="H23" s="132">
        <v>0.08</v>
      </c>
      <c r="I23" s="132">
        <v>0.06</v>
      </c>
      <c r="J23" s="132">
        <v>0.05</v>
      </c>
      <c r="K23" s="132">
        <v>0.04</v>
      </c>
      <c r="L23" s="132">
        <v>0.03</v>
      </c>
      <c r="M23"/>
      <c r="T23"/>
      <c r="U23"/>
      <c r="V23"/>
      <c r="W23"/>
      <c r="X23"/>
      <c r="Y23"/>
      <c r="AA23"/>
      <c r="AB23"/>
      <c r="AC23"/>
      <c r="AD23"/>
      <c r="AE23"/>
      <c r="AF23"/>
      <c r="AG23"/>
      <c r="AH23"/>
      <c r="AI23"/>
    </row>
    <row r="24" spans="1:35" x14ac:dyDescent="0.2">
      <c r="B24" s="3" t="s">
        <v>165</v>
      </c>
      <c r="C24" s="44"/>
      <c r="D24" s="129">
        <f t="shared" ref="D24:E24" si="47">(D5-C5)/C5</f>
        <v>0.13411551027820653</v>
      </c>
      <c r="E24" s="129">
        <f t="shared" si="47"/>
        <v>2.8146711137918091E-2</v>
      </c>
      <c r="F24" s="161">
        <f t="shared" ref="F24:G24" si="48">(F5-E5)/E5</f>
        <v>8.7512291052114055E-2</v>
      </c>
      <c r="G24" s="162">
        <f t="shared" si="48"/>
        <v>-4.3851717902350811E-2</v>
      </c>
      <c r="H24" s="132">
        <v>0.04</v>
      </c>
      <c r="I24" s="132">
        <v>0.03</v>
      </c>
      <c r="J24" s="132">
        <v>0.02</v>
      </c>
      <c r="K24" s="132">
        <v>0.02</v>
      </c>
      <c r="L24" s="132">
        <v>0.02</v>
      </c>
      <c r="M24"/>
      <c r="T24"/>
      <c r="U24"/>
      <c r="V24"/>
      <c r="W24"/>
      <c r="X24"/>
      <c r="Y24"/>
      <c r="AA24"/>
      <c r="AB24"/>
      <c r="AC24"/>
      <c r="AD24"/>
      <c r="AE24"/>
      <c r="AF24"/>
      <c r="AG24"/>
      <c r="AH24"/>
      <c r="AI24"/>
    </row>
    <row r="25" spans="1:35" x14ac:dyDescent="0.2">
      <c r="B25" s="3" t="s">
        <v>168</v>
      </c>
      <c r="C25" s="44"/>
      <c r="D25" s="129">
        <f t="shared" ref="D25:E25" si="49">(D6-C6)/C6</f>
        <v>0.13411551027820653</v>
      </c>
      <c r="E25" s="129">
        <f t="shared" si="49"/>
        <v>2.8146711137917849E-2</v>
      </c>
      <c r="F25" s="161">
        <f t="shared" ref="F25:G25" si="50">(F6-E6)/E6</f>
        <v>-0.20606060606060606</v>
      </c>
      <c r="G25" s="162">
        <f t="shared" si="50"/>
        <v>-0.12213740458015267</v>
      </c>
      <c r="H25" s="132">
        <v>-0.02</v>
      </c>
      <c r="I25" s="132">
        <v>0</v>
      </c>
      <c r="J25" s="132">
        <v>0.02</v>
      </c>
      <c r="K25" s="132">
        <v>0.03</v>
      </c>
      <c r="L25" s="132">
        <v>0.03</v>
      </c>
      <c r="M25"/>
      <c r="T25"/>
      <c r="U25"/>
      <c r="V25"/>
      <c r="W25"/>
      <c r="X25"/>
      <c r="Y25"/>
      <c r="AA25"/>
      <c r="AB25"/>
      <c r="AC25"/>
      <c r="AD25"/>
      <c r="AE25"/>
      <c r="AF25"/>
      <c r="AG25"/>
      <c r="AH25"/>
      <c r="AI25"/>
    </row>
    <row r="26" spans="1:35" ht="17" thickBot="1" x14ac:dyDescent="0.25">
      <c r="B26" s="168" t="s">
        <v>178</v>
      </c>
      <c r="C26" s="169"/>
      <c r="D26" s="165">
        <f t="shared" ref="D26:E26" si="51">(D7-C7)/C7</f>
        <v>-3.6913465102136923E-2</v>
      </c>
      <c r="E26" s="165">
        <f t="shared" si="51"/>
        <v>0.24453075720276851</v>
      </c>
      <c r="F26" s="166">
        <f t="shared" ref="F26:L26" si="52">(F7-E7)/E7</f>
        <v>7.3856376181957575E-2</v>
      </c>
      <c r="G26" s="167">
        <f t="shared" si="52"/>
        <v>0.18848167539267016</v>
      </c>
      <c r="H26" s="166">
        <f t="shared" si="52"/>
        <v>0.13723668402082512</v>
      </c>
      <c r="I26" s="166">
        <f t="shared" si="52"/>
        <v>0.11650180654158203</v>
      </c>
      <c r="J26" s="166">
        <f t="shared" si="52"/>
        <v>0.10032020674542749</v>
      </c>
      <c r="K26" s="166">
        <f t="shared" si="52"/>
        <v>8.5229988731444065E-2</v>
      </c>
      <c r="L26" s="166">
        <f t="shared" si="52"/>
        <v>6.0861724300564538E-2</v>
      </c>
      <c r="M26"/>
      <c r="T26"/>
      <c r="U26"/>
      <c r="V26"/>
      <c r="W26"/>
      <c r="X26"/>
      <c r="Y26"/>
      <c r="AA26"/>
      <c r="AB26"/>
      <c r="AC26"/>
      <c r="AD26"/>
      <c r="AE26"/>
      <c r="AF26"/>
      <c r="AG26"/>
      <c r="AH26"/>
      <c r="AI26"/>
    </row>
    <row r="27" spans="1:35" ht="17" thickTop="1" x14ac:dyDescent="0.2">
      <c r="B27" s="3" t="s">
        <v>164</v>
      </c>
      <c r="C27" s="44"/>
      <c r="D27" s="129">
        <f t="shared" ref="D27:E27" si="53">(D8-C8)/C8</f>
        <v>-3.6913465102136903E-2</v>
      </c>
      <c r="E27" s="129">
        <f t="shared" si="53"/>
        <v>0.24453075720276884</v>
      </c>
      <c r="F27" s="161">
        <f t="shared" ref="F27:G27" si="54">(F8-E8)/E8</f>
        <v>1.1461318051575931E-2</v>
      </c>
      <c r="G27" s="162">
        <f t="shared" si="54"/>
        <v>-2.5495750708215296E-2</v>
      </c>
      <c r="H27" s="132">
        <v>0.02</v>
      </c>
      <c r="I27" s="132">
        <v>0.02</v>
      </c>
      <c r="J27" s="132">
        <v>0.01</v>
      </c>
      <c r="K27" s="132">
        <v>0.01</v>
      </c>
      <c r="L27" s="132">
        <v>0.01</v>
      </c>
      <c r="M27"/>
      <c r="T27"/>
      <c r="U27"/>
      <c r="V27"/>
      <c r="W27"/>
      <c r="X27"/>
      <c r="Y27"/>
      <c r="AA27"/>
      <c r="AB27"/>
      <c r="AC27"/>
      <c r="AD27"/>
      <c r="AE27"/>
      <c r="AF27"/>
      <c r="AG27"/>
      <c r="AH27"/>
      <c r="AI27"/>
    </row>
    <row r="28" spans="1:35" x14ac:dyDescent="0.2">
      <c r="B28" s="3" t="s">
        <v>165</v>
      </c>
      <c r="C28" s="44"/>
      <c r="D28" s="129">
        <f t="shared" ref="D28:E28" si="55">(D9-C9)/C9</f>
        <v>-3.6913465102136958E-2</v>
      </c>
      <c r="E28" s="129">
        <f t="shared" si="55"/>
        <v>0.24453075720276843</v>
      </c>
      <c r="F28" s="161">
        <f t="shared" ref="F28:G28" si="56">(F9-E9)/E9</f>
        <v>9.9536211202283273E-2</v>
      </c>
      <c r="G28" s="162">
        <f t="shared" si="56"/>
        <v>0.26508760545100585</v>
      </c>
      <c r="H28" s="132">
        <v>0.17</v>
      </c>
      <c r="I28" s="132">
        <v>0.14000000000000001</v>
      </c>
      <c r="J28" s="132">
        <v>0.12</v>
      </c>
      <c r="K28" s="132">
        <v>0.1</v>
      </c>
      <c r="L28" s="132">
        <v>7.0000000000000007E-2</v>
      </c>
      <c r="M28"/>
      <c r="T28"/>
      <c r="U28"/>
      <c r="V28"/>
      <c r="W28"/>
      <c r="X28"/>
      <c r="Y28"/>
      <c r="AA28"/>
      <c r="AB28"/>
      <c r="AC28"/>
      <c r="AD28"/>
      <c r="AE28"/>
      <c r="AF28"/>
      <c r="AG28"/>
      <c r="AH28"/>
      <c r="AI28"/>
    </row>
    <row r="29" spans="1:35" x14ac:dyDescent="0.2">
      <c r="B29" s="3" t="s">
        <v>168</v>
      </c>
      <c r="C29" s="44"/>
      <c r="D29" s="129">
        <f t="shared" ref="D29:E29" si="57">(D10-C10)/C10</f>
        <v>-3.6913465102136861E-2</v>
      </c>
      <c r="E29" s="129">
        <f t="shared" si="57"/>
        <v>0.24453075720276851</v>
      </c>
      <c r="F29" s="161">
        <f t="shared" ref="F29:G29" si="58">(F10-E10)/E10</f>
        <v>-3.1746031746031744E-2</v>
      </c>
      <c r="G29" s="162">
        <f t="shared" si="58"/>
        <v>3.2786885245901641E-2</v>
      </c>
      <c r="H29" s="132">
        <v>0.03</v>
      </c>
      <c r="I29" s="132">
        <v>0.03</v>
      </c>
      <c r="J29" s="132">
        <v>0.02</v>
      </c>
      <c r="K29" s="132">
        <v>0.02</v>
      </c>
      <c r="L29" s="132">
        <v>0.02</v>
      </c>
      <c r="M29"/>
      <c r="T29"/>
      <c r="U29"/>
      <c r="V29"/>
      <c r="W29"/>
      <c r="X29"/>
      <c r="Y29"/>
      <c r="AA29"/>
      <c r="AB29"/>
      <c r="AC29"/>
      <c r="AD29"/>
      <c r="AE29"/>
      <c r="AF29"/>
      <c r="AG29"/>
      <c r="AH29"/>
      <c r="AI29"/>
    </row>
    <row r="30" spans="1:35" ht="17" thickBot="1" x14ac:dyDescent="0.25">
      <c r="B30" s="168" t="s">
        <v>179</v>
      </c>
      <c r="C30" s="169"/>
      <c r="D30" s="165">
        <f t="shared" ref="D30:E30" si="59">(D11-C11)/C11</f>
        <v>0.43597403686324787</v>
      </c>
      <c r="E30" s="165">
        <f t="shared" si="59"/>
        <v>-5.0044836932434153E-2</v>
      </c>
      <c r="F30" s="166">
        <f t="shared" ref="F30:L30" si="60">(F11-E11)/E11</f>
        <v>0.1279317697228145</v>
      </c>
      <c r="G30" s="167">
        <f t="shared" si="60"/>
        <v>6.2381852551984876E-2</v>
      </c>
      <c r="H30" s="166">
        <f t="shared" si="60"/>
        <v>0.10141014234875456</v>
      </c>
      <c r="I30" s="166">
        <f t="shared" si="60"/>
        <v>8.8497841250095882E-2</v>
      </c>
      <c r="J30" s="166">
        <f t="shared" si="60"/>
        <v>6.9031472070670993E-2</v>
      </c>
      <c r="K30" s="166">
        <f t="shared" si="60"/>
        <v>5.5741910712978335E-2</v>
      </c>
      <c r="L30" s="166">
        <f t="shared" si="60"/>
        <v>3.8012676173410677E-2</v>
      </c>
      <c r="M30"/>
      <c r="T30"/>
      <c r="U30"/>
      <c r="V30"/>
      <c r="W30"/>
      <c r="X30"/>
      <c r="Y30"/>
      <c r="AA30"/>
      <c r="AB30"/>
      <c r="AC30"/>
      <c r="AD30"/>
      <c r="AE30"/>
      <c r="AF30"/>
      <c r="AG30"/>
      <c r="AH30"/>
      <c r="AI30"/>
    </row>
    <row r="31" spans="1:35" ht="17" thickTop="1" x14ac:dyDescent="0.2">
      <c r="B31" s="3" t="s">
        <v>164</v>
      </c>
      <c r="C31" s="44"/>
      <c r="D31" s="129">
        <f t="shared" ref="D31:E31" si="61">(D12-C12)/C12</f>
        <v>0.43597403686324804</v>
      </c>
      <c r="E31" s="129">
        <f t="shared" si="61"/>
        <v>-5.0044836932434028E-2</v>
      </c>
      <c r="F31" s="161">
        <f t="shared" ref="F31:G31" si="62">(F12-E12)/E12</f>
        <v>-0.14634146341463414</v>
      </c>
      <c r="G31" s="162">
        <f t="shared" si="62"/>
        <v>0.25714285714285712</v>
      </c>
      <c r="H31" s="132">
        <v>7.0000000000000007E-2</v>
      </c>
      <c r="I31" s="132">
        <v>0.06</v>
      </c>
      <c r="J31" s="132">
        <v>0.05</v>
      </c>
      <c r="K31" s="132">
        <v>0.05</v>
      </c>
      <c r="L31" s="132">
        <v>0.04</v>
      </c>
      <c r="M31"/>
      <c r="T31"/>
      <c r="U31"/>
      <c r="V31"/>
      <c r="W31"/>
      <c r="X31"/>
      <c r="Y31"/>
      <c r="AA31"/>
      <c r="AB31"/>
      <c r="AC31"/>
      <c r="AD31"/>
      <c r="AE31"/>
      <c r="AF31"/>
      <c r="AG31"/>
      <c r="AH31"/>
      <c r="AI31"/>
    </row>
    <row r="32" spans="1:35" x14ac:dyDescent="0.2">
      <c r="B32" s="3" t="s">
        <v>165</v>
      </c>
      <c r="C32" s="44"/>
      <c r="D32" s="129">
        <f t="shared" ref="D32:E32" si="63">(D13-C13)/C13</f>
        <v>0.43597403686324793</v>
      </c>
      <c r="E32" s="129">
        <f t="shared" si="63"/>
        <v>-5.0044836932434257E-2</v>
      </c>
      <c r="F32" s="161">
        <f t="shared" ref="F32:G32" si="64">(F13-E13)/E13</f>
        <v>0.13523131672597866</v>
      </c>
      <c r="G32" s="162">
        <f t="shared" si="64"/>
        <v>0.18808777429467086</v>
      </c>
      <c r="H32" s="132">
        <v>0.16</v>
      </c>
      <c r="I32" s="132">
        <v>0.13</v>
      </c>
      <c r="J32" s="132">
        <v>0.11</v>
      </c>
      <c r="K32" s="132">
        <v>0.08</v>
      </c>
      <c r="L32" s="132">
        <v>7.0000000000000007E-2</v>
      </c>
      <c r="M32"/>
      <c r="T32"/>
      <c r="U32"/>
      <c r="V32"/>
      <c r="W32"/>
      <c r="X32"/>
      <c r="Y32"/>
      <c r="AA32"/>
      <c r="AB32"/>
      <c r="AC32"/>
      <c r="AD32"/>
      <c r="AE32"/>
      <c r="AF32"/>
      <c r="AG32"/>
      <c r="AH32"/>
      <c r="AI32"/>
    </row>
    <row r="33" spans="2:35" x14ac:dyDescent="0.2">
      <c r="B33" s="3" t="s">
        <v>168</v>
      </c>
      <c r="C33" s="44"/>
      <c r="D33" s="129">
        <f t="shared" ref="D33:E33" si="65">(D14-C14)/C14</f>
        <v>0.43597403686324804</v>
      </c>
      <c r="E33" s="129">
        <f t="shared" si="65"/>
        <v>-5.004483693243416E-2</v>
      </c>
      <c r="F33" s="161">
        <f t="shared" ref="F33:G33" si="66">(F14-E14)/E14</f>
        <v>0.13384813384813385</v>
      </c>
      <c r="G33" s="162">
        <f t="shared" si="66"/>
        <v>3.5754824063564131E-2</v>
      </c>
      <c r="H33" s="132">
        <v>0.09</v>
      </c>
      <c r="I33" s="132">
        <v>0.08</v>
      </c>
      <c r="J33" s="132">
        <v>0.06</v>
      </c>
      <c r="K33" s="132">
        <v>0.05</v>
      </c>
      <c r="L33" s="132">
        <v>0.03</v>
      </c>
      <c r="M33"/>
      <c r="T33"/>
      <c r="U33"/>
      <c r="V33"/>
      <c r="W33"/>
      <c r="X33"/>
      <c r="Y33"/>
      <c r="AA33"/>
      <c r="AB33"/>
      <c r="AC33"/>
      <c r="AD33"/>
      <c r="AE33"/>
      <c r="AF33"/>
      <c r="AG33"/>
      <c r="AH33"/>
      <c r="AI33"/>
    </row>
    <row r="34" spans="2:35" ht="17" thickBot="1" x14ac:dyDescent="0.25">
      <c r="B34" s="168" t="s">
        <v>176</v>
      </c>
      <c r="C34" s="169"/>
      <c r="D34" s="165">
        <f t="shared" ref="D34:E34" si="67">(D15-C15)/C15</f>
        <v>9.4018258618340289E-2</v>
      </c>
      <c r="E34" s="165">
        <f t="shared" si="67"/>
        <v>-8.7586029908674146E-2</v>
      </c>
      <c r="F34" s="166">
        <f t="shared" ref="F34:L34" si="68">(F15-E15)/E15</f>
        <v>3.9845047039291641E-2</v>
      </c>
      <c r="G34" s="167">
        <f t="shared" si="68"/>
        <v>8.0361894624800423E-2</v>
      </c>
      <c r="H34" s="166">
        <f t="shared" si="68"/>
        <v>6.3172413793103566E-2</v>
      </c>
      <c r="I34" s="166">
        <f t="shared" si="68"/>
        <v>5.605627733708967E-2</v>
      </c>
      <c r="J34" s="166">
        <f t="shared" si="68"/>
        <v>4.7464782843310509E-2</v>
      </c>
      <c r="K34" s="166">
        <f t="shared" si="68"/>
        <v>4.8297872889405666E-2</v>
      </c>
      <c r="L34" s="166">
        <f t="shared" si="68"/>
        <v>3.869301450656764E-2</v>
      </c>
      <c r="M34"/>
      <c r="T34"/>
      <c r="U34"/>
      <c r="V34"/>
      <c r="W34"/>
      <c r="X34"/>
      <c r="Y34"/>
      <c r="AA34"/>
      <c r="AB34"/>
      <c r="AC34"/>
      <c r="AD34"/>
      <c r="AE34"/>
      <c r="AF34"/>
      <c r="AG34"/>
      <c r="AH34"/>
      <c r="AI34"/>
    </row>
    <row r="35" spans="2:35" ht="17" thickTop="1" x14ac:dyDescent="0.2">
      <c r="B35" s="3" t="s">
        <v>164</v>
      </c>
      <c r="C35" s="44"/>
      <c r="D35" s="129">
        <f t="shared" ref="D35:E35" si="69">(D16-C16)/C16</f>
        <v>9.4018258618340331E-2</v>
      </c>
      <c r="E35" s="129">
        <f t="shared" si="69"/>
        <v>-8.7586029908674118E-2</v>
      </c>
      <c r="F35" s="161">
        <f t="shared" ref="F35:G35" si="70">(F16-E16)/E16</f>
        <v>0.10065359477124183</v>
      </c>
      <c r="G35" s="162">
        <f t="shared" si="70"/>
        <v>7.6009501187648459E-2</v>
      </c>
      <c r="H35" s="132">
        <v>7.0000000000000007E-2</v>
      </c>
      <c r="I35" s="132">
        <v>0.06</v>
      </c>
      <c r="J35" s="132">
        <v>0.05</v>
      </c>
      <c r="K35" s="132">
        <v>0.05</v>
      </c>
      <c r="L35" s="132">
        <v>0.04</v>
      </c>
      <c r="M35"/>
      <c r="T35"/>
      <c r="U35"/>
      <c r="V35"/>
      <c r="W35"/>
      <c r="X35"/>
      <c r="Y35"/>
      <c r="AA35"/>
      <c r="AB35"/>
      <c r="AC35"/>
      <c r="AD35"/>
      <c r="AE35"/>
      <c r="AF35"/>
      <c r="AG35"/>
      <c r="AH35"/>
      <c r="AI35"/>
    </row>
    <row r="36" spans="2:35" x14ac:dyDescent="0.2">
      <c r="B36" s="3" t="s">
        <v>165</v>
      </c>
      <c r="C36" s="44"/>
      <c r="D36" s="129">
        <f t="shared" ref="D36:E36" si="71">(D17-C17)/C17</f>
        <v>9.4018258618340317E-2</v>
      </c>
      <c r="E36" s="129">
        <f t="shared" si="71"/>
        <v>-8.7586029908674021E-2</v>
      </c>
      <c r="F36" s="161">
        <f t="shared" ref="F36:G36" si="72">(F17-E17)/E17</f>
        <v>-8.1967213114754103E-3</v>
      </c>
      <c r="G36" s="162">
        <f t="shared" si="72"/>
        <v>-0.21487603305785125</v>
      </c>
      <c r="H36" s="132">
        <v>-0.05</v>
      </c>
      <c r="I36" s="132">
        <v>-0.02</v>
      </c>
      <c r="J36" s="132">
        <v>0</v>
      </c>
      <c r="K36" s="132">
        <v>0.02</v>
      </c>
      <c r="L36" s="132">
        <v>0.02</v>
      </c>
      <c r="M36"/>
      <c r="T36"/>
      <c r="U36"/>
      <c r="V36"/>
      <c r="W36"/>
      <c r="X36"/>
      <c r="Y36"/>
      <c r="AA36"/>
      <c r="AB36"/>
      <c r="AC36"/>
      <c r="AD36"/>
      <c r="AE36"/>
      <c r="AF36"/>
      <c r="AG36"/>
      <c r="AH36"/>
      <c r="AI36"/>
    </row>
    <row r="37" spans="2:35" x14ac:dyDescent="0.2">
      <c r="B37" s="3" t="s">
        <v>168</v>
      </c>
      <c r="C37" s="44"/>
      <c r="D37" s="129">
        <f t="shared" ref="D37:E37" si="73">(D18-C18)/C18</f>
        <v>9.4018258618340303E-2</v>
      </c>
      <c r="E37" s="129">
        <f t="shared" si="73"/>
        <v>-8.7586029908674048E-2</v>
      </c>
      <c r="F37" s="161">
        <f t="shared" ref="F37:G37" si="74">(F18-E18)/E18</f>
        <v>-0.52258064516129032</v>
      </c>
      <c r="G37" s="162">
        <f t="shared" si="74"/>
        <v>0.66216216216216217</v>
      </c>
      <c r="H37" s="132">
        <v>0.05</v>
      </c>
      <c r="I37" s="132">
        <v>0.05</v>
      </c>
      <c r="J37" s="132">
        <v>0.04</v>
      </c>
      <c r="K37" s="132">
        <v>0.04</v>
      </c>
      <c r="L37" s="132">
        <v>0.03</v>
      </c>
      <c r="M37"/>
      <c r="T37"/>
      <c r="U37"/>
      <c r="V37"/>
      <c r="W37"/>
      <c r="X37"/>
      <c r="Y37"/>
      <c r="AA37"/>
      <c r="AB37"/>
      <c r="AC37"/>
      <c r="AD37"/>
      <c r="AE37"/>
      <c r="AF37"/>
      <c r="AG37"/>
      <c r="AH37"/>
      <c r="AI37"/>
    </row>
    <row r="38" spans="2:35" x14ac:dyDescent="0.2">
      <c r="C38" s="44"/>
      <c r="D38" s="1"/>
      <c r="E38" s="1"/>
      <c r="F38" s="129"/>
      <c r="G38" s="129"/>
      <c r="H38"/>
      <c r="I38"/>
      <c r="J38"/>
      <c r="K38"/>
      <c r="L38"/>
      <c r="M38"/>
      <c r="N38"/>
      <c r="O38" s="43"/>
      <c r="P38" s="43"/>
      <c r="T38"/>
      <c r="U38"/>
      <c r="V38"/>
      <c r="W38"/>
      <c r="X38"/>
      <c r="Y38"/>
      <c r="AA38"/>
      <c r="AB38"/>
      <c r="AC38"/>
      <c r="AD38"/>
      <c r="AE38"/>
      <c r="AF38"/>
      <c r="AG38"/>
      <c r="AH38"/>
      <c r="AI38"/>
    </row>
    <row r="39" spans="2:35" x14ac:dyDescent="0.2">
      <c r="C39" s="44"/>
      <c r="D39" s="1"/>
      <c r="E39" s="1"/>
      <c r="F39" s="129"/>
      <c r="G39" s="129"/>
      <c r="H39"/>
      <c r="I39"/>
      <c r="J39"/>
      <c r="K39"/>
      <c r="L39"/>
      <c r="M39"/>
      <c r="N39"/>
      <c r="O39" s="43"/>
      <c r="P39" s="43"/>
    </row>
    <row r="40" spans="2:35" x14ac:dyDescent="0.2">
      <c r="I40" s="38"/>
    </row>
    <row r="41" spans="2:35" x14ac:dyDescent="0.2">
      <c r="I41" s="38"/>
    </row>
    <row r="42" spans="2:35" x14ac:dyDescent="0.2">
      <c r="B42" s="5" t="s">
        <v>184</v>
      </c>
      <c r="C42" s="41">
        <f>'Income Statement Historical'!C5</f>
        <v>12297</v>
      </c>
      <c r="D42" s="41">
        <f>'Income Statement Historical'!D5</f>
        <v>13737</v>
      </c>
      <c r="E42" s="41">
        <f>'Income Statement Historical'!E5</f>
        <v>14396</v>
      </c>
      <c r="F42" s="41">
        <f>'Income Statement Historical'!F5</f>
        <v>15438</v>
      </c>
      <c r="G42" s="41">
        <f>'Income Statement Historical'!G5</f>
        <v>16662</v>
      </c>
      <c r="H42" s="41">
        <f>'Income Statement Historical'!H5</f>
        <v>18105.790000000005</v>
      </c>
      <c r="I42" s="41">
        <f>'Income Statement Historical'!I5</f>
        <v>19502.3298</v>
      </c>
      <c r="J42" s="41">
        <f>'Income Statement Historical'!J5</f>
        <v>20770.692038000005</v>
      </c>
      <c r="K42" s="41">
        <f>'Income Statement Historical'!K5</f>
        <v>21934.893438120005</v>
      </c>
      <c r="L42" s="41">
        <f>'Income Statement Historical'!L5</f>
        <v>22849.176716721602</v>
      </c>
      <c r="M42" s="41"/>
      <c r="N42" s="40"/>
      <c r="O42" s="5"/>
    </row>
    <row r="43" spans="2:35" x14ac:dyDescent="0.2">
      <c r="B43" s="5" t="s">
        <v>185</v>
      </c>
      <c r="C43" s="42">
        <f>C3/C42</f>
        <v>0.46733473807307052</v>
      </c>
      <c r="D43" s="42">
        <f>D3/D42</f>
        <v>0.47445237948918895</v>
      </c>
      <c r="E43" s="42">
        <f>E3/E42</f>
        <v>0.46547652125590444</v>
      </c>
      <c r="F43" s="42">
        <f t="shared" ref="F43:L43" si="75">F3/F42</f>
        <v>0.46262469231765774</v>
      </c>
      <c r="G43" s="42">
        <f t="shared" si="75"/>
        <v>0.43836274156763894</v>
      </c>
      <c r="H43" s="42">
        <f t="shared" si="75"/>
        <v>0.43037172086940134</v>
      </c>
      <c r="I43" s="42">
        <f t="shared" si="75"/>
        <v>0.41979616199496328</v>
      </c>
      <c r="J43" s="42">
        <f t="shared" si="75"/>
        <v>0.41043431313715956</v>
      </c>
      <c r="K43" s="42">
        <f t="shared" si="75"/>
        <v>0.40203693710562333</v>
      </c>
      <c r="L43" s="42">
        <f t="shared" si="75"/>
        <v>0.39649679415477318</v>
      </c>
      <c r="M43" s="40"/>
      <c r="N43" s="40"/>
      <c r="O43" s="5"/>
    </row>
    <row r="44" spans="2:35" x14ac:dyDescent="0.2">
      <c r="B44" s="5" t="s">
        <v>186</v>
      </c>
      <c r="C44" s="42">
        <f>C7/C42</f>
        <v>0.2654848419295488</v>
      </c>
      <c r="D44" s="42">
        <f>D7/D42</f>
        <v>0.2288823561255833</v>
      </c>
      <c r="E44" s="42">
        <f>E7/E42</f>
        <v>0.27181161433731593</v>
      </c>
      <c r="F44" s="42">
        <f t="shared" ref="F44:L44" si="76">F7/F42</f>
        <v>0.27218551625858273</v>
      </c>
      <c r="G44" s="42">
        <f t="shared" si="76"/>
        <v>0.29972392269835552</v>
      </c>
      <c r="H44" s="42">
        <f t="shared" si="76"/>
        <v>0.31367645377528397</v>
      </c>
      <c r="I44" s="42">
        <f t="shared" si="76"/>
        <v>0.32514144540823015</v>
      </c>
      <c r="J44" s="42">
        <f t="shared" si="76"/>
        <v>0.33591310743211167</v>
      </c>
      <c r="K44" s="42">
        <f t="shared" si="76"/>
        <v>0.34519474406021855</v>
      </c>
      <c r="L44" s="42">
        <f t="shared" si="76"/>
        <v>0.35155066784861061</v>
      </c>
      <c r="M44" s="1"/>
    </row>
    <row r="45" spans="2:35" x14ac:dyDescent="0.2">
      <c r="B45" s="5" t="s">
        <v>187</v>
      </c>
      <c r="C45" s="1">
        <f>C11/C42</f>
        <v>0.11183660267437791</v>
      </c>
      <c r="D45" s="1">
        <f>D11/D42</f>
        <v>0.14375992194123577</v>
      </c>
      <c r="E45" s="1">
        <f>E11/E42</f>
        <v>0.13031397610447346</v>
      </c>
      <c r="F45" s="1">
        <f t="shared" ref="F45:L45" si="77">F11/F42</f>
        <v>0.13706438657857237</v>
      </c>
      <c r="G45" s="1">
        <f t="shared" si="77"/>
        <v>0.13491777697755372</v>
      </c>
      <c r="H45" s="1">
        <f t="shared" si="77"/>
        <v>0.13675017770558476</v>
      </c>
      <c r="I45" s="1">
        <f t="shared" si="77"/>
        <v>0.13819313013566206</v>
      </c>
      <c r="J45" s="1">
        <f t="shared" si="77"/>
        <v>0.13871150208808464</v>
      </c>
      <c r="K45" s="1">
        <f t="shared" si="77"/>
        <v>0.1386710087624069</v>
      </c>
      <c r="L45" s="1">
        <f t="shared" si="77"/>
        <v>0.13818258229849334</v>
      </c>
      <c r="M45" s="1"/>
    </row>
    <row r="46" spans="2:35" x14ac:dyDescent="0.2">
      <c r="B46" s="5" t="s">
        <v>188</v>
      </c>
      <c r="C46" s="1">
        <f>C15/C42</f>
        <v>0.14721175259176761</v>
      </c>
      <c r="D46" s="1">
        <f>D15/D42</f>
        <v>0.14416981066849519</v>
      </c>
      <c r="E46" s="1">
        <f>E15/E42</f>
        <v>0.12552097804945819</v>
      </c>
      <c r="F46" s="1">
        <f t="shared" ref="F46:L46" si="78">F15/F42</f>
        <v>0.12171265707993263</v>
      </c>
      <c r="G46" s="1">
        <f t="shared" si="78"/>
        <v>0.12183411355179451</v>
      </c>
      <c r="H46" s="1">
        <f t="shared" si="78"/>
        <v>0.11920164764972971</v>
      </c>
      <c r="I46" s="1">
        <f t="shared" si="78"/>
        <v>0.11686926246114455</v>
      </c>
      <c r="J46" s="1">
        <f t="shared" si="78"/>
        <v>0.11494107734264412</v>
      </c>
      <c r="K46" s="1">
        <f t="shared" si="78"/>
        <v>0.11409731007175131</v>
      </c>
      <c r="L46" s="1">
        <f t="shared" si="78"/>
        <v>0.11376995569812304</v>
      </c>
      <c r="M46" s="1"/>
    </row>
    <row r="47" spans="2:35" x14ac:dyDescent="0.2">
      <c r="B47" s="5"/>
    </row>
    <row r="54" spans="2:13" x14ac:dyDescent="0.2">
      <c r="B54" s="36" t="s">
        <v>251</v>
      </c>
      <c r="C54" s="36"/>
      <c r="D54" s="36"/>
      <c r="E54" s="36" t="s">
        <v>1</v>
      </c>
      <c r="F54" s="36"/>
      <c r="G54" s="37"/>
      <c r="H54" s="3" t="s">
        <v>258</v>
      </c>
      <c r="I54" s="36"/>
      <c r="J54" s="36"/>
      <c r="K54" s="36" t="s">
        <v>26</v>
      </c>
      <c r="L54" s="36"/>
      <c r="M54" s="36"/>
    </row>
    <row r="55" spans="2:13" x14ac:dyDescent="0.2">
      <c r="B55" s="36"/>
      <c r="C55" s="36" t="s">
        <v>27</v>
      </c>
      <c r="D55" s="36" t="s">
        <v>28</v>
      </c>
      <c r="E55" s="36" t="s">
        <v>29</v>
      </c>
      <c r="F55" s="36" t="s">
        <v>30</v>
      </c>
      <c r="G55" s="37" t="s">
        <v>31</v>
      </c>
      <c r="H55" s="3" t="s">
        <v>259</v>
      </c>
      <c r="I55" s="36" t="s">
        <v>32</v>
      </c>
      <c r="J55" s="36" t="s">
        <v>33</v>
      </c>
      <c r="K55" s="36" t="s">
        <v>34</v>
      </c>
      <c r="L55" s="36" t="s">
        <v>35</v>
      </c>
      <c r="M55" s="36" t="s">
        <v>36</v>
      </c>
    </row>
    <row r="56" spans="2:13" ht="17" thickBot="1" x14ac:dyDescent="0.25">
      <c r="B56" s="153" t="s">
        <v>177</v>
      </c>
      <c r="C56" s="60">
        <f t="shared" ref="C56:G56" si="79">SUM(C57:C58)</f>
        <v>0</v>
      </c>
      <c r="D56" s="60">
        <f t="shared" si="79"/>
        <v>0</v>
      </c>
      <c r="E56" s="60">
        <f t="shared" si="79"/>
        <v>0</v>
      </c>
      <c r="F56" s="60">
        <f t="shared" si="79"/>
        <v>17827</v>
      </c>
      <c r="G56" s="176">
        <f t="shared" si="79"/>
        <v>21967</v>
      </c>
      <c r="H56" s="129">
        <f>(G56-F56)/G56</f>
        <v>0.18846451495424957</v>
      </c>
      <c r="I56" s="182"/>
      <c r="J56" s="60"/>
      <c r="K56" s="60"/>
      <c r="L56" s="60"/>
      <c r="M56" s="176"/>
    </row>
    <row r="57" spans="2:13" ht="17" thickTop="1" x14ac:dyDescent="0.2">
      <c r="B57" s="174" t="s">
        <v>253</v>
      </c>
      <c r="C57" s="3" t="s">
        <v>240</v>
      </c>
      <c r="D57" s="3" t="s">
        <v>240</v>
      </c>
      <c r="E57" s="3" t="s">
        <v>240</v>
      </c>
      <c r="F57" s="3">
        <v>2714</v>
      </c>
      <c r="G57" s="15">
        <v>2881</v>
      </c>
      <c r="H57" s="129">
        <f t="shared" ref="H57:H68" si="80">(G57-F57)/G57</f>
        <v>5.796598403332176E-2</v>
      </c>
      <c r="I57" s="72"/>
      <c r="M57" s="15"/>
    </row>
    <row r="58" spans="2:13" x14ac:dyDescent="0.2">
      <c r="B58" s="174" t="s">
        <v>254</v>
      </c>
      <c r="C58" s="3" t="s">
        <v>240</v>
      </c>
      <c r="D58" s="5" t="s">
        <v>257</v>
      </c>
      <c r="E58" s="5" t="s">
        <v>257</v>
      </c>
      <c r="F58" s="3">
        <v>15113</v>
      </c>
      <c r="G58" s="15">
        <v>19086</v>
      </c>
      <c r="H58" s="129">
        <f t="shared" si="80"/>
        <v>0.20816305145132558</v>
      </c>
      <c r="I58" s="72"/>
      <c r="M58" s="15"/>
    </row>
    <row r="59" spans="2:13" ht="17" thickBot="1" x14ac:dyDescent="0.25">
      <c r="B59" s="153" t="s">
        <v>178</v>
      </c>
      <c r="C59" s="60">
        <f t="shared" ref="C59:G59" si="81">SUM(C60:C61)</f>
        <v>0</v>
      </c>
      <c r="D59" s="60">
        <f t="shared" si="81"/>
        <v>0</v>
      </c>
      <c r="E59" s="60">
        <f t="shared" si="81"/>
        <v>0</v>
      </c>
      <c r="F59" s="60">
        <f t="shared" si="81"/>
        <v>11378</v>
      </c>
      <c r="G59" s="176">
        <f t="shared" si="81"/>
        <v>12024</v>
      </c>
      <c r="H59" s="129">
        <f t="shared" si="80"/>
        <v>5.3725881570192945E-2</v>
      </c>
      <c r="I59" s="182"/>
      <c r="J59" s="60"/>
      <c r="K59" s="60"/>
      <c r="L59" s="60"/>
      <c r="M59" s="176"/>
    </row>
    <row r="60" spans="2:13" ht="17" thickTop="1" x14ac:dyDescent="0.2">
      <c r="B60" s="174" t="s">
        <v>253</v>
      </c>
      <c r="C60" s="3" t="s">
        <v>240</v>
      </c>
      <c r="D60" s="3" t="s">
        <v>240</v>
      </c>
      <c r="E60" s="3" t="s">
        <v>240</v>
      </c>
      <c r="F60" s="3">
        <v>2334</v>
      </c>
      <c r="G60" s="15">
        <v>1456</v>
      </c>
      <c r="H60" s="129">
        <f t="shared" si="80"/>
        <v>-0.60302197802197799</v>
      </c>
      <c r="I60" s="72"/>
      <c r="M60" s="15"/>
    </row>
    <row r="61" spans="2:13" x14ac:dyDescent="0.2">
      <c r="B61" s="174" t="s">
        <v>254</v>
      </c>
      <c r="C61" s="3" t="s">
        <v>240</v>
      </c>
      <c r="D61" s="3" t="s">
        <v>240</v>
      </c>
      <c r="E61" s="3" t="s">
        <v>240</v>
      </c>
      <c r="F61" s="3">
        <v>9044</v>
      </c>
      <c r="G61" s="15">
        <v>10568</v>
      </c>
      <c r="H61" s="129">
        <f t="shared" si="80"/>
        <v>0.14420893262679788</v>
      </c>
      <c r="I61" s="72"/>
      <c r="M61" s="15"/>
    </row>
    <row r="62" spans="2:13" ht="17" thickBot="1" x14ac:dyDescent="0.25">
      <c r="B62" s="153" t="s">
        <v>179</v>
      </c>
      <c r="C62" s="60">
        <f t="shared" ref="C62:D62" si="82">SUM(C63:C64)</f>
        <v>0</v>
      </c>
      <c r="D62" s="60">
        <f t="shared" si="82"/>
        <v>0</v>
      </c>
      <c r="E62" s="60">
        <f t="shared" ref="E62:G62" si="83">SUM(E63:E64)</f>
        <v>0</v>
      </c>
      <c r="F62" s="60">
        <f t="shared" si="83"/>
        <v>3672</v>
      </c>
      <c r="G62" s="176">
        <f t="shared" si="83"/>
        <v>4357</v>
      </c>
      <c r="H62" s="129">
        <f t="shared" si="80"/>
        <v>0.15721826945145742</v>
      </c>
      <c r="I62" s="182"/>
      <c r="J62" s="60"/>
      <c r="K62" s="60"/>
      <c r="L62" s="60"/>
      <c r="M62" s="176"/>
    </row>
    <row r="63" spans="2:13" ht="17" thickTop="1" x14ac:dyDescent="0.2">
      <c r="B63" s="174" t="s">
        <v>253</v>
      </c>
      <c r="C63" s="3" t="s">
        <v>240</v>
      </c>
      <c r="D63" s="3" t="s">
        <v>240</v>
      </c>
      <c r="E63" s="3" t="s">
        <v>240</v>
      </c>
      <c r="F63" s="3">
        <v>2567</v>
      </c>
      <c r="G63" s="15">
        <v>2456</v>
      </c>
      <c r="H63" s="129">
        <f t="shared" si="80"/>
        <v>-4.519543973941368E-2</v>
      </c>
      <c r="I63" s="72"/>
      <c r="M63" s="15"/>
    </row>
    <row r="64" spans="2:13" x14ac:dyDescent="0.2">
      <c r="B64" s="174" t="s">
        <v>254</v>
      </c>
      <c r="C64" s="3" t="s">
        <v>240</v>
      </c>
      <c r="D64" s="3" t="s">
        <v>240</v>
      </c>
      <c r="E64" s="3" t="s">
        <v>240</v>
      </c>
      <c r="F64" s="3">
        <v>1105</v>
      </c>
      <c r="G64" s="15">
        <v>1901</v>
      </c>
      <c r="H64" s="129">
        <f t="shared" si="80"/>
        <v>0.41872698579694895</v>
      </c>
      <c r="I64" s="72"/>
      <c r="M64" s="15"/>
    </row>
    <row r="65" spans="1:13" ht="17" thickBot="1" x14ac:dyDescent="0.25">
      <c r="B65" s="153" t="s">
        <v>252</v>
      </c>
      <c r="C65" s="60">
        <f t="shared" ref="C65:D65" si="84">SUM(C66:C67)</f>
        <v>0</v>
      </c>
      <c r="D65" s="60">
        <f t="shared" si="84"/>
        <v>0</v>
      </c>
      <c r="E65" s="60">
        <f t="shared" ref="E65:G65" si="85">SUM(E66:E67)</f>
        <v>0</v>
      </c>
      <c r="F65" s="60">
        <f t="shared" si="85"/>
        <v>4085</v>
      </c>
      <c r="G65" s="176">
        <f t="shared" si="85"/>
        <v>5206</v>
      </c>
      <c r="H65" s="129">
        <f t="shared" si="80"/>
        <v>0.21532846715328466</v>
      </c>
      <c r="I65" s="182"/>
      <c r="J65" s="60"/>
      <c r="K65" s="60"/>
      <c r="L65" s="60"/>
      <c r="M65" s="176"/>
    </row>
    <row r="66" spans="1:13" ht="17" thickTop="1" x14ac:dyDescent="0.2">
      <c r="B66" s="174" t="s">
        <v>253</v>
      </c>
      <c r="C66" s="3" t="s">
        <v>240</v>
      </c>
      <c r="D66" s="3" t="s">
        <v>240</v>
      </c>
      <c r="E66" s="3" t="s">
        <v>240</v>
      </c>
      <c r="F66" s="3">
        <v>1181</v>
      </c>
      <c r="G66" s="15">
        <v>1616</v>
      </c>
      <c r="H66" s="129">
        <f t="shared" si="80"/>
        <v>0.2691831683168317</v>
      </c>
      <c r="I66" s="72"/>
      <c r="M66" s="15"/>
    </row>
    <row r="67" spans="1:13" x14ac:dyDescent="0.2">
      <c r="B67" s="174" t="s">
        <v>254</v>
      </c>
      <c r="C67" s="3" t="s">
        <v>240</v>
      </c>
      <c r="D67" s="3" t="s">
        <v>240</v>
      </c>
      <c r="E67" s="3" t="s">
        <v>240</v>
      </c>
      <c r="F67" s="3">
        <v>2904</v>
      </c>
      <c r="G67" s="80">
        <v>3590</v>
      </c>
      <c r="H67" s="129">
        <f t="shared" si="80"/>
        <v>0.19108635097493037</v>
      </c>
      <c r="I67" s="72"/>
      <c r="M67" s="15"/>
    </row>
    <row r="68" spans="1:13" ht="17" thickBot="1" x14ac:dyDescent="0.25">
      <c r="B68" s="153" t="s">
        <v>256</v>
      </c>
      <c r="C68" s="60">
        <v>31912</v>
      </c>
      <c r="D68" s="60">
        <v>34455</v>
      </c>
      <c r="E68" s="60">
        <v>35782</v>
      </c>
      <c r="F68" s="60">
        <f t="shared" ref="F68:G68" si="86">SUM(F65,F62,F59,F56)</f>
        <v>36962</v>
      </c>
      <c r="G68" s="176">
        <f t="shared" si="86"/>
        <v>43554</v>
      </c>
      <c r="H68" s="129">
        <f t="shared" si="80"/>
        <v>0.15135234421637508</v>
      </c>
      <c r="I68" s="182">
        <f>G68+G68*I69</f>
        <v>46757.060499274805</v>
      </c>
      <c r="J68" s="60">
        <f t="shared" ref="J68:M68" si="87">I68+I68*J69</f>
        <v>49094.913524238546</v>
      </c>
      <c r="K68" s="60">
        <f t="shared" si="87"/>
        <v>51058.710065208084</v>
      </c>
      <c r="L68" s="60">
        <f t="shared" si="87"/>
        <v>52590.471367164326</v>
      </c>
      <c r="M68" s="176">
        <f t="shared" si="87"/>
        <v>53642.280794507613</v>
      </c>
    </row>
    <row r="69" spans="1:13" ht="17" thickTop="1" x14ac:dyDescent="0.2">
      <c r="B69" s="175" t="s">
        <v>255</v>
      </c>
      <c r="C69" s="173"/>
      <c r="D69" s="178">
        <f>(D68-C68)/D68</f>
        <v>7.3806414163401543E-2</v>
      </c>
      <c r="E69" s="178">
        <f t="shared" ref="E69:G69" si="88">(E68-D68)/E68</f>
        <v>3.7085685540215754E-2</v>
      </c>
      <c r="F69" s="178">
        <f t="shared" si="88"/>
        <v>3.1924679400465346E-2</v>
      </c>
      <c r="G69" s="181">
        <f t="shared" si="88"/>
        <v>0.15135234421637508</v>
      </c>
      <c r="I69" s="183">
        <f>AVERAGE(D69:G69)</f>
        <v>7.3542280830114437E-2</v>
      </c>
      <c r="J69" s="179">
        <v>0.05</v>
      </c>
      <c r="K69" s="179">
        <f t="shared" ref="K69:M69" si="89">J69-0.01</f>
        <v>0.04</v>
      </c>
      <c r="L69" s="179">
        <f t="shared" si="89"/>
        <v>0.03</v>
      </c>
      <c r="M69" s="180">
        <f t="shared" si="89"/>
        <v>1.9999999999999997E-2</v>
      </c>
    </row>
    <row r="71" spans="1:13" x14ac:dyDescent="0.2">
      <c r="A71" s="3" t="s">
        <v>166</v>
      </c>
      <c r="B71" s="125" t="s">
        <v>167</v>
      </c>
    </row>
    <row r="72" spans="1:13" x14ac:dyDescent="0.2">
      <c r="A72" s="3" t="s">
        <v>182</v>
      </c>
      <c r="B72" s="3" t="s">
        <v>183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7D59-3131-C740-8104-894FFB50702D}">
  <dimension ref="B5:AK48"/>
  <sheetViews>
    <sheetView showGridLines="0" topLeftCell="Z1" zoomScale="171" workbookViewId="0">
      <selection activeCell="AG6" sqref="AG6"/>
    </sheetView>
  </sheetViews>
  <sheetFormatPr baseColWidth="10" defaultRowHeight="16" x14ac:dyDescent="0.2"/>
  <cols>
    <col min="2" max="2" width="33.6640625" bestFit="1" customWidth="1"/>
    <col min="6" max="6" width="17" bestFit="1" customWidth="1"/>
    <col min="7" max="7" width="14.6640625" bestFit="1" customWidth="1"/>
    <col min="8" max="11" width="14.6640625" customWidth="1"/>
    <col min="12" max="12" width="33.6640625" bestFit="1" customWidth="1"/>
    <col min="14" max="14" width="16.5" bestFit="1" customWidth="1"/>
    <col min="17" max="17" width="64.5" bestFit="1" customWidth="1"/>
    <col min="18" max="18" width="21.5" bestFit="1" customWidth="1"/>
    <col min="19" max="19" width="19.33203125" bestFit="1" customWidth="1"/>
    <col min="20" max="20" width="20.33203125" bestFit="1" customWidth="1"/>
    <col min="30" max="30" width="32.33203125" customWidth="1"/>
    <col min="31" max="32" width="12.1640625" bestFit="1" customWidth="1"/>
  </cols>
  <sheetData>
    <row r="5" spans="2:32" x14ac:dyDescent="0.2">
      <c r="AC5" s="3"/>
      <c r="AD5" s="36" t="s">
        <v>25</v>
      </c>
      <c r="AE5" s="36"/>
      <c r="AF5" s="36"/>
    </row>
    <row r="6" spans="2:32" x14ac:dyDescent="0.2">
      <c r="AC6" s="3"/>
      <c r="AD6" s="36"/>
      <c r="AE6" s="36" t="s">
        <v>180</v>
      </c>
      <c r="AF6" s="36" t="s">
        <v>181</v>
      </c>
    </row>
    <row r="7" spans="2:32" x14ac:dyDescent="0.2">
      <c r="AC7" s="3">
        <v>1</v>
      </c>
      <c r="AD7" s="6" t="s">
        <v>177</v>
      </c>
      <c r="AE7" s="128">
        <f>SUM(AE8:AE10)</f>
        <v>5746.815274084548</v>
      </c>
      <c r="AF7" s="128">
        <f>SUM(AF8:AF10)</f>
        <v>6517.5523370429883</v>
      </c>
    </row>
    <row r="8" spans="2:32" x14ac:dyDescent="0.2">
      <c r="AC8" s="3"/>
      <c r="AD8" s="3" t="s">
        <v>164</v>
      </c>
      <c r="AE8" s="3">
        <f>AF31</f>
        <v>3860.9405109578624</v>
      </c>
      <c r="AF8" s="3">
        <f>AK31</f>
        <v>4378.7525177387752</v>
      </c>
    </row>
    <row r="9" spans="2:32" x14ac:dyDescent="0.2">
      <c r="B9" s="3"/>
      <c r="C9" s="44"/>
      <c r="D9" s="1"/>
      <c r="E9" s="1"/>
      <c r="F9" s="129"/>
      <c r="G9" s="129"/>
      <c r="H9" s="129"/>
      <c r="I9" s="129"/>
      <c r="J9" s="129"/>
      <c r="K9" s="129"/>
      <c r="S9" s="43"/>
      <c r="T9" s="43"/>
      <c r="U9" s="3"/>
      <c r="V9" s="3"/>
      <c r="W9" s="3"/>
      <c r="X9" s="3"/>
      <c r="Y9" s="3"/>
      <c r="Z9" s="3"/>
      <c r="AC9" s="3"/>
      <c r="AD9" s="3" t="s">
        <v>165</v>
      </c>
      <c r="AE9" s="3">
        <f t="shared" ref="AE9:AE22" si="0">AF32</f>
        <v>1744.3698354705223</v>
      </c>
      <c r="AF9" s="3">
        <f t="shared" ref="AF9:AF22" si="1">AK32</f>
        <v>1978.3168860685626</v>
      </c>
    </row>
    <row r="10" spans="2:32" x14ac:dyDescent="0.2">
      <c r="B10" s="3"/>
      <c r="C10" s="44"/>
      <c r="D10" s="1"/>
      <c r="E10" s="1"/>
      <c r="F10" s="129" t="s">
        <v>214</v>
      </c>
      <c r="G10" s="129" t="s">
        <v>231</v>
      </c>
      <c r="H10" s="129"/>
      <c r="I10" s="129"/>
      <c r="J10" s="129"/>
      <c r="K10" s="129"/>
      <c r="N10" t="s">
        <v>214</v>
      </c>
      <c r="O10" t="s">
        <v>231</v>
      </c>
      <c r="S10" s="43"/>
      <c r="T10" s="43"/>
      <c r="U10" s="3"/>
      <c r="V10" s="3"/>
      <c r="W10" s="3"/>
      <c r="X10" s="3"/>
      <c r="Y10" s="3"/>
      <c r="Z10" s="3"/>
      <c r="AC10" s="3"/>
      <c r="AD10" s="3" t="s">
        <v>168</v>
      </c>
      <c r="AE10" s="3">
        <f t="shared" si="0"/>
        <v>141.50492765616335</v>
      </c>
      <c r="AF10" s="3">
        <f t="shared" si="1"/>
        <v>160.48293323565039</v>
      </c>
    </row>
    <row r="11" spans="2:32" x14ac:dyDescent="0.2">
      <c r="B11" s="3"/>
      <c r="C11" s="130"/>
      <c r="D11" s="131"/>
      <c r="E11" s="131">
        <v>2022</v>
      </c>
      <c r="F11" s="130">
        <v>2022</v>
      </c>
      <c r="G11" s="130"/>
      <c r="I11" s="130">
        <v>2020</v>
      </c>
      <c r="J11" s="130">
        <v>2021</v>
      </c>
      <c r="K11" s="130"/>
      <c r="M11">
        <v>2022</v>
      </c>
      <c r="N11">
        <v>2022</v>
      </c>
      <c r="O11" s="130"/>
      <c r="S11" s="43"/>
      <c r="T11" s="43"/>
      <c r="U11" s="3"/>
      <c r="V11" s="3"/>
      <c r="W11" s="3"/>
      <c r="X11" s="3"/>
      <c r="Y11" s="3"/>
      <c r="Z11" s="3"/>
      <c r="AC11" s="3">
        <v>2</v>
      </c>
      <c r="AD11" s="6" t="s">
        <v>178</v>
      </c>
      <c r="AE11" s="3">
        <f>SUM(AE12:AE14)</f>
        <v>3264.6671012076613</v>
      </c>
      <c r="AF11" s="3">
        <f>SUM(AF12:AF14)</f>
        <v>3144.1569260971378</v>
      </c>
    </row>
    <row r="12" spans="2:32" ht="19" x14ac:dyDescent="0.25">
      <c r="B12" s="6" t="s">
        <v>209</v>
      </c>
      <c r="C12" s="44"/>
      <c r="D12" s="1"/>
      <c r="E12" s="1"/>
      <c r="F12" s="129"/>
      <c r="G12" s="129"/>
      <c r="I12" s="129"/>
      <c r="J12" s="129"/>
      <c r="K12" s="129"/>
      <c r="L12" s="12" t="s">
        <v>215</v>
      </c>
      <c r="O12" s="129"/>
      <c r="Q12" s="133" t="s">
        <v>216</v>
      </c>
      <c r="AC12" s="3"/>
      <c r="AD12" s="3" t="s">
        <v>164</v>
      </c>
      <c r="AE12" s="3">
        <f t="shared" si="0"/>
        <v>873.52579988868399</v>
      </c>
      <c r="AF12" s="3">
        <f t="shared" si="1"/>
        <v>841.28093575867683</v>
      </c>
    </row>
    <row r="13" spans="2:32" x14ac:dyDescent="0.2">
      <c r="B13" s="6" t="s">
        <v>176</v>
      </c>
      <c r="C13" s="3"/>
      <c r="D13" s="130"/>
      <c r="E13" s="130">
        <f>SUM(E14:E16)</f>
        <v>8242</v>
      </c>
      <c r="F13" s="129">
        <f>E13/$E$26</f>
        <v>0.57688808007279346</v>
      </c>
      <c r="G13" s="129"/>
      <c r="I13" s="145">
        <f>SUM(I14:I16)</f>
        <v>7339</v>
      </c>
      <c r="J13" s="145">
        <f>SUM(J14:J16)</f>
        <v>8029</v>
      </c>
      <c r="K13" s="129"/>
      <c r="L13" s="6" t="s">
        <v>177</v>
      </c>
      <c r="M13" s="128">
        <f t="shared" ref="M13" si="2">SUM(M14:M16)</f>
        <v>6701</v>
      </c>
      <c r="N13" s="132">
        <f>M13/$M$30</f>
        <v>0.46869972721549974</v>
      </c>
      <c r="AC13" s="3"/>
      <c r="AD13" s="3" t="s">
        <v>165</v>
      </c>
      <c r="AE13" s="3">
        <f t="shared" si="0"/>
        <v>2338.5795769703745</v>
      </c>
      <c r="AF13" s="3">
        <f t="shared" si="1"/>
        <v>2252.2545013673084</v>
      </c>
    </row>
    <row r="14" spans="2:32" x14ac:dyDescent="0.2">
      <c r="B14" s="3" t="s">
        <v>164</v>
      </c>
      <c r="C14" s="3"/>
      <c r="D14" s="131"/>
      <c r="E14" s="130">
        <v>6027</v>
      </c>
      <c r="F14" s="129">
        <f t="shared" ref="F14:F24" si="3">E14/$E$26</f>
        <v>0.4218520333170015</v>
      </c>
      <c r="G14" s="129">
        <f>E14/E13</f>
        <v>0.73125454986653726</v>
      </c>
      <c r="I14" s="130">
        <v>5407</v>
      </c>
      <c r="J14" s="130">
        <v>5939</v>
      </c>
      <c r="K14" s="129"/>
      <c r="L14" s="3" t="s">
        <v>164</v>
      </c>
      <c r="M14" s="38">
        <v>4502</v>
      </c>
      <c r="N14" s="132">
        <f t="shared" ref="N14:N28" si="4">M14/$M$30</f>
        <v>0.31489123592362034</v>
      </c>
      <c r="O14" s="129">
        <f>M14/M13</f>
        <v>0.67184002387703323</v>
      </c>
      <c r="Q14" s="134" t="s">
        <v>217</v>
      </c>
      <c r="R14" s="134" t="s">
        <v>218</v>
      </c>
      <c r="S14" s="134" t="s">
        <v>219</v>
      </c>
      <c r="T14" s="134" t="s">
        <v>220</v>
      </c>
      <c r="U14" s="134" t="s">
        <v>221</v>
      </c>
      <c r="V14" s="134" t="s">
        <v>220</v>
      </c>
      <c r="W14" s="134" t="s">
        <v>222</v>
      </c>
      <c r="X14" s="134" t="s">
        <v>220</v>
      </c>
      <c r="Y14" s="134" t="s">
        <v>223</v>
      </c>
      <c r="Z14" s="134" t="s">
        <v>220</v>
      </c>
      <c r="AC14" s="3"/>
      <c r="AD14" s="3" t="s">
        <v>168</v>
      </c>
      <c r="AE14" s="3">
        <f t="shared" si="0"/>
        <v>52.561724348602773</v>
      </c>
      <c r="AF14" s="3">
        <f t="shared" si="1"/>
        <v>50.621488971152488</v>
      </c>
    </row>
    <row r="15" spans="2:32" x14ac:dyDescent="0.2">
      <c r="B15" s="3" t="s">
        <v>165</v>
      </c>
      <c r="C15" s="3"/>
      <c r="D15" s="131"/>
      <c r="E15" s="130">
        <v>1004</v>
      </c>
      <c r="F15" s="129">
        <f t="shared" si="3"/>
        <v>7.0273675369216776E-2</v>
      </c>
      <c r="G15" s="129">
        <f>E15/E13</f>
        <v>0.12181509342392623</v>
      </c>
      <c r="I15" s="130">
        <v>995</v>
      </c>
      <c r="J15" s="130">
        <v>964</v>
      </c>
      <c r="K15" s="129"/>
      <c r="L15" s="3" t="s">
        <v>165</v>
      </c>
      <c r="M15" s="38">
        <v>2034</v>
      </c>
      <c r="N15" s="132">
        <f t="shared" si="4"/>
        <v>0.14226760858921453</v>
      </c>
      <c r="O15" s="129">
        <f>M15/M13</f>
        <v>0.30353678555439484</v>
      </c>
      <c r="Q15" t="s">
        <v>210</v>
      </c>
      <c r="R15" s="126">
        <v>8242</v>
      </c>
      <c r="S15" s="126">
        <v>5895</v>
      </c>
      <c r="T15" s="135">
        <v>0.41</v>
      </c>
      <c r="U15">
        <v>0</v>
      </c>
      <c r="V15" s="135">
        <v>0</v>
      </c>
      <c r="W15">
        <v>314</v>
      </c>
      <c r="X15" s="135">
        <v>0.02</v>
      </c>
      <c r="Y15" s="126">
        <v>2033</v>
      </c>
      <c r="Z15" s="135">
        <v>0.14000000000000001</v>
      </c>
      <c r="AC15" s="3">
        <v>3</v>
      </c>
      <c r="AD15" s="6" t="s">
        <v>179</v>
      </c>
      <c r="AE15" s="3">
        <f>SUM(AE16:AE18)</f>
        <v>1375.2547030868252</v>
      </c>
      <c r="AF15" s="3">
        <f>SUM(AF16:AF18)</f>
        <v>1974.8300477067557</v>
      </c>
    </row>
    <row r="16" spans="2:32" x14ac:dyDescent="0.2">
      <c r="B16" s="3" t="s">
        <v>168</v>
      </c>
      <c r="C16" s="3"/>
      <c r="D16" s="131"/>
      <c r="E16" s="130">
        <v>1211</v>
      </c>
      <c r="F16" s="129">
        <f t="shared" si="3"/>
        <v>8.4762371386575205E-2</v>
      </c>
      <c r="G16" s="129">
        <f>E16/E13</f>
        <v>0.14693035670953652</v>
      </c>
      <c r="I16" s="130">
        <v>937</v>
      </c>
      <c r="J16" s="130">
        <v>1126</v>
      </c>
      <c r="K16" s="129"/>
      <c r="L16" s="3" t="s">
        <v>168</v>
      </c>
      <c r="M16" s="38">
        <v>165</v>
      </c>
      <c r="N16" s="132">
        <f t="shared" si="4"/>
        <v>1.1540882702664896E-2</v>
      </c>
      <c r="O16" s="129">
        <f>M16/M13</f>
        <v>2.4623190568571856E-2</v>
      </c>
      <c r="Q16" t="s">
        <v>212</v>
      </c>
      <c r="R16" s="126">
        <v>3362</v>
      </c>
      <c r="S16">
        <v>0</v>
      </c>
      <c r="T16" s="135">
        <v>0</v>
      </c>
      <c r="U16" s="126">
        <v>3299</v>
      </c>
      <c r="V16" s="135">
        <v>0.23</v>
      </c>
      <c r="W16">
        <v>63</v>
      </c>
      <c r="X16" s="135">
        <v>0</v>
      </c>
      <c r="Y16">
        <v>0</v>
      </c>
      <c r="Z16" s="135">
        <v>0</v>
      </c>
      <c r="AC16" s="3"/>
      <c r="AD16" s="3" t="s">
        <v>164</v>
      </c>
      <c r="AE16" s="3">
        <f t="shared" si="0"/>
        <v>30.056206197526556</v>
      </c>
      <c r="AF16" s="3">
        <f t="shared" si="1"/>
        <v>43.159931746256383</v>
      </c>
    </row>
    <row r="17" spans="2:37" x14ac:dyDescent="0.2">
      <c r="B17" s="6" t="s">
        <v>211</v>
      </c>
      <c r="C17" s="3"/>
      <c r="D17" s="130"/>
      <c r="E17" s="130">
        <f>SUM(E18:E20)</f>
        <v>2683</v>
      </c>
      <c r="F17" s="129">
        <f t="shared" si="3"/>
        <v>0.18779309862112409</v>
      </c>
      <c r="G17" s="129"/>
      <c r="I17" s="145">
        <f>SUM(I18:I20)</f>
        <v>2903</v>
      </c>
      <c r="J17" s="145">
        <f>SUM(J18:J20)</f>
        <v>3044</v>
      </c>
      <c r="K17" s="129"/>
      <c r="L17" s="6" t="s">
        <v>178</v>
      </c>
      <c r="M17" s="128">
        <f t="shared" ref="M17" si="5">SUM(M18:M20)</f>
        <v>3913</v>
      </c>
      <c r="N17" s="132">
        <f t="shared" si="4"/>
        <v>0.27369378191228927</v>
      </c>
      <c r="O17" s="129"/>
      <c r="Q17" t="s">
        <v>211</v>
      </c>
      <c r="R17" s="126">
        <v>2683</v>
      </c>
      <c r="S17">
        <v>683</v>
      </c>
      <c r="T17" s="135">
        <v>0.06</v>
      </c>
      <c r="U17">
        <v>571</v>
      </c>
      <c r="V17" s="135">
        <v>0.04</v>
      </c>
      <c r="W17" s="126">
        <v>1429</v>
      </c>
      <c r="X17" s="135">
        <v>0.1</v>
      </c>
      <c r="Y17">
        <v>0</v>
      </c>
      <c r="Z17" s="135">
        <v>0</v>
      </c>
      <c r="AC17" s="3"/>
      <c r="AD17" s="3" t="s">
        <v>165</v>
      </c>
      <c r="AE17" s="3">
        <f t="shared" si="0"/>
        <v>205.99497418304793</v>
      </c>
      <c r="AF17" s="3">
        <f t="shared" si="1"/>
        <v>295.80343465117187</v>
      </c>
    </row>
    <row r="18" spans="2:37" x14ac:dyDescent="0.2">
      <c r="B18" s="3" t="s">
        <v>164</v>
      </c>
      <c r="C18" s="3"/>
      <c r="D18" s="131"/>
      <c r="E18" s="130">
        <v>999</v>
      </c>
      <c r="F18" s="129">
        <f t="shared" si="3"/>
        <v>6.9923706866382024E-2</v>
      </c>
      <c r="G18" s="129">
        <f>E18/E17</f>
        <v>0.37234439060752889</v>
      </c>
      <c r="I18" s="130">
        <v>59</v>
      </c>
      <c r="J18" s="130">
        <v>54</v>
      </c>
      <c r="K18" s="129"/>
      <c r="L18" s="3" t="s">
        <v>164</v>
      </c>
      <c r="M18" s="38">
        <v>1047</v>
      </c>
      <c r="N18" s="132">
        <f t="shared" si="4"/>
        <v>7.3232146604182702E-2</v>
      </c>
      <c r="O18" s="129">
        <f>M18/M17</f>
        <v>0.26756963966266289</v>
      </c>
      <c r="Q18" s="134" t="s">
        <v>224</v>
      </c>
      <c r="R18" s="126">
        <v>14287</v>
      </c>
      <c r="S18" s="126">
        <v>6701</v>
      </c>
      <c r="T18" s="135">
        <v>0.47</v>
      </c>
      <c r="U18" s="126">
        <v>3913</v>
      </c>
      <c r="V18" s="135">
        <v>0.27</v>
      </c>
      <c r="W18" s="126">
        <v>1876</v>
      </c>
      <c r="X18" s="135">
        <v>0.13</v>
      </c>
      <c r="Y18" s="126">
        <v>2033</v>
      </c>
      <c r="Z18" s="135">
        <v>0.13</v>
      </c>
      <c r="AC18" s="3"/>
      <c r="AD18" s="3" t="s">
        <v>168</v>
      </c>
      <c r="AE18" s="3">
        <f t="shared" si="0"/>
        <v>1139.2035227062506</v>
      </c>
      <c r="AF18" s="3">
        <f t="shared" si="1"/>
        <v>1635.8666813093275</v>
      </c>
    </row>
    <row r="19" spans="2:37" x14ac:dyDescent="0.2">
      <c r="B19" s="3" t="s">
        <v>165</v>
      </c>
      <c r="C19" s="3"/>
      <c r="D19" s="131"/>
      <c r="E19" s="130">
        <v>1576</v>
      </c>
      <c r="F19" s="129">
        <f t="shared" si="3"/>
        <v>0.11031007209351158</v>
      </c>
      <c r="G19" s="129">
        <f>E19/E17</f>
        <v>0.58740216175922477</v>
      </c>
      <c r="I19" s="130">
        <v>2418</v>
      </c>
      <c r="J19" s="130">
        <v>2447</v>
      </c>
      <c r="K19" s="129"/>
      <c r="L19" s="3" t="s">
        <v>165</v>
      </c>
      <c r="M19" s="38">
        <v>2803</v>
      </c>
      <c r="N19" s="132">
        <f t="shared" si="4"/>
        <v>0.19605511645799817</v>
      </c>
      <c r="O19" s="129">
        <f>M19/M17</f>
        <v>0.71633018144646055</v>
      </c>
      <c r="Q19" s="3"/>
      <c r="R19" s="3">
        <f>SUM(S18,U18,W18,Y18)</f>
        <v>14523</v>
      </c>
      <c r="S19" s="3"/>
      <c r="T19" s="3"/>
      <c r="U19" s="3"/>
      <c r="V19" s="3"/>
      <c r="W19" s="3"/>
      <c r="X19" s="3"/>
      <c r="Y19" s="3"/>
      <c r="Z19" s="3"/>
      <c r="AC19" s="3">
        <v>4</v>
      </c>
      <c r="AD19" s="6" t="s">
        <v>176</v>
      </c>
      <c r="AE19" s="3">
        <f>SUM(AE20:AE22)</f>
        <v>1810.2629216209662</v>
      </c>
      <c r="AF19" s="3">
        <f>SUM(AF20:AF22)</f>
        <v>1980.4606891531184</v>
      </c>
    </row>
    <row r="20" spans="2:37" x14ac:dyDescent="0.2">
      <c r="B20" s="3" t="s">
        <v>168</v>
      </c>
      <c r="C20" s="3"/>
      <c r="D20" s="131"/>
      <c r="E20" s="130">
        <v>108</v>
      </c>
      <c r="F20" s="129">
        <f t="shared" si="3"/>
        <v>7.5593196612304889E-3</v>
      </c>
      <c r="G20" s="129">
        <f>E20/E17</f>
        <v>4.0253447633246363E-2</v>
      </c>
      <c r="I20" s="130">
        <v>426</v>
      </c>
      <c r="J20" s="130">
        <v>543</v>
      </c>
      <c r="K20" s="129"/>
      <c r="L20" s="3" t="s">
        <v>168</v>
      </c>
      <c r="M20" s="38">
        <v>63</v>
      </c>
      <c r="N20" s="132">
        <f t="shared" si="4"/>
        <v>4.4065188501084141E-3</v>
      </c>
      <c r="O20" s="129">
        <f>M20/M17</f>
        <v>1.6100178890876567E-2</v>
      </c>
      <c r="Q20" s="6" t="s">
        <v>230</v>
      </c>
      <c r="R20" s="3"/>
      <c r="S20" s="43"/>
      <c r="T20" s="43"/>
      <c r="U20" s="3"/>
      <c r="V20" s="3"/>
      <c r="W20" s="3"/>
      <c r="X20" s="3"/>
      <c r="Y20" s="3"/>
      <c r="Z20" s="3"/>
      <c r="AC20" s="3"/>
      <c r="AD20" s="3" t="s">
        <v>164</v>
      </c>
      <c r="AE20" s="3">
        <f t="shared" si="0"/>
        <v>1532.7627393912994</v>
      </c>
      <c r="AF20" s="3">
        <f t="shared" si="1"/>
        <v>1676.8704230239464</v>
      </c>
    </row>
    <row r="21" spans="2:37" x14ac:dyDescent="0.2">
      <c r="B21" s="6" t="s">
        <v>212</v>
      </c>
      <c r="C21" s="3"/>
      <c r="D21" s="130"/>
      <c r="E21" s="130">
        <f>SUM(E22:E24)</f>
        <v>3362</v>
      </c>
      <c r="F21" s="129">
        <f t="shared" si="3"/>
        <v>0.23531882130608245</v>
      </c>
      <c r="G21" s="129"/>
      <c r="I21" s="145">
        <f>SUM(I22:I24)</f>
        <v>1955</v>
      </c>
      <c r="J21" s="145">
        <f>SUM(J22:J24)</f>
        <v>2544</v>
      </c>
      <c r="K21" s="129"/>
      <c r="L21" s="6" t="s">
        <v>179</v>
      </c>
      <c r="M21" s="128">
        <f t="shared" ref="M21" si="6">SUM(M22:M24)</f>
        <v>1876</v>
      </c>
      <c r="N21" s="132">
        <f t="shared" si="4"/>
        <v>0.13121633909211722</v>
      </c>
      <c r="O21" s="129"/>
      <c r="R21" t="s">
        <v>225</v>
      </c>
      <c r="S21" s="43" t="s">
        <v>226</v>
      </c>
      <c r="T21" s="43" t="s">
        <v>227</v>
      </c>
      <c r="U21" s="3" t="s">
        <v>228</v>
      </c>
      <c r="V21" s="3"/>
      <c r="W21" s="3"/>
      <c r="X21" s="3"/>
      <c r="Y21" s="3"/>
      <c r="Z21" s="3"/>
      <c r="AC21" s="3"/>
      <c r="AD21" s="3" t="s">
        <v>165</v>
      </c>
      <c r="AE21" s="3">
        <f t="shared" si="0"/>
        <v>122.22029686649576</v>
      </c>
      <c r="AF21" s="3">
        <f t="shared" si="1"/>
        <v>133.71123634570029</v>
      </c>
    </row>
    <row r="22" spans="2:37" x14ac:dyDescent="0.2">
      <c r="B22" s="3" t="s">
        <v>164</v>
      </c>
      <c r="C22" s="3"/>
      <c r="D22" s="131"/>
      <c r="E22" s="130">
        <v>84</v>
      </c>
      <c r="F22" s="129">
        <f t="shared" si="3"/>
        <v>5.8794708476237138E-3</v>
      </c>
      <c r="G22" s="129">
        <f>E22/E21</f>
        <v>2.4985127900059488E-2</v>
      </c>
      <c r="I22" s="130">
        <v>519</v>
      </c>
      <c r="J22" s="130">
        <v>756</v>
      </c>
      <c r="K22" s="129"/>
      <c r="L22" s="3" t="s">
        <v>164</v>
      </c>
      <c r="M22" s="38">
        <v>41</v>
      </c>
      <c r="N22" s="132">
        <f t="shared" si="4"/>
        <v>2.8677344897530951E-3</v>
      </c>
      <c r="O22" s="129">
        <f>M22/M21</f>
        <v>2.1855010660980809E-2</v>
      </c>
      <c r="Q22" t="s">
        <v>210</v>
      </c>
      <c r="R22" s="136">
        <f>S15/R15</f>
        <v>0.71523901965542347</v>
      </c>
      <c r="S22" s="129">
        <f>U15/R15</f>
        <v>0</v>
      </c>
      <c r="T22" s="44">
        <f>W15/R15</f>
        <v>3.8097549138558603E-2</v>
      </c>
      <c r="U22" s="44">
        <f>Y15/R15</f>
        <v>0.24666343120601797</v>
      </c>
      <c r="V22" s="3"/>
      <c r="W22" s="3"/>
      <c r="X22" s="3"/>
      <c r="Y22" s="3"/>
      <c r="Z22" s="3"/>
      <c r="AC22" s="3"/>
      <c r="AD22" s="3" t="s">
        <v>168</v>
      </c>
      <c r="AE22" s="3">
        <f t="shared" si="0"/>
        <v>155.27988536317085</v>
      </c>
      <c r="AF22" s="3">
        <f t="shared" si="1"/>
        <v>169.87902978347168</v>
      </c>
    </row>
    <row r="23" spans="2:37" ht="17" thickBot="1" x14ac:dyDescent="0.25">
      <c r="B23" s="3" t="s">
        <v>165</v>
      </c>
      <c r="C23" s="3"/>
      <c r="D23" s="131"/>
      <c r="E23" s="130">
        <v>2660</v>
      </c>
      <c r="F23" s="129">
        <f t="shared" si="3"/>
        <v>0.18618324350808427</v>
      </c>
      <c r="G23" s="129">
        <f>E23/E21</f>
        <v>0.79119571683521717</v>
      </c>
      <c r="I23" s="130">
        <v>1329</v>
      </c>
      <c r="J23" s="130">
        <v>1681</v>
      </c>
      <c r="K23" s="129"/>
      <c r="L23" s="3" t="s">
        <v>165</v>
      </c>
      <c r="M23" s="38">
        <v>281</v>
      </c>
      <c r="N23" s="132">
        <f t="shared" si="4"/>
        <v>1.9654472966356577E-2</v>
      </c>
      <c r="O23" s="129">
        <f>M23/M21</f>
        <v>0.14978678038379531</v>
      </c>
      <c r="Q23" t="s">
        <v>212</v>
      </c>
      <c r="R23" s="136">
        <f>S16/R16</f>
        <v>0</v>
      </c>
      <c r="S23" s="129">
        <f>U16/R16</f>
        <v>0.9812611540749554</v>
      </c>
      <c r="T23" s="44">
        <f>W16/R16</f>
        <v>1.8738845925044618E-2</v>
      </c>
      <c r="U23" s="44">
        <f>Y16/R16</f>
        <v>0</v>
      </c>
      <c r="V23" s="3"/>
      <c r="W23" s="3"/>
      <c r="X23" s="3"/>
      <c r="Y23" s="3"/>
      <c r="Z23" s="3"/>
      <c r="AC23" s="3" t="s">
        <v>4</v>
      </c>
      <c r="AD23" s="6" t="s">
        <v>37</v>
      </c>
      <c r="AE23" s="39">
        <f>SUM(AE7,AE11,AE15,AE19)</f>
        <v>12197</v>
      </c>
      <c r="AF23" s="39">
        <f>SUM(AF7,AF11,AF15,AF19)</f>
        <v>13617</v>
      </c>
    </row>
    <row r="24" spans="2:37" ht="17" thickTop="1" x14ac:dyDescent="0.2">
      <c r="B24" s="3" t="s">
        <v>168</v>
      </c>
      <c r="C24" s="3"/>
      <c r="D24" s="131"/>
      <c r="E24" s="130">
        <v>618</v>
      </c>
      <c r="F24" s="129">
        <f t="shared" si="3"/>
        <v>4.3256106950374469E-2</v>
      </c>
      <c r="G24" s="129">
        <f>E24/E21</f>
        <v>0.18381915526472337</v>
      </c>
      <c r="I24" s="130">
        <v>107</v>
      </c>
      <c r="J24" s="130">
        <v>107</v>
      </c>
      <c r="K24" s="129"/>
      <c r="L24" s="3" t="s">
        <v>168</v>
      </c>
      <c r="M24" s="38">
        <v>1554</v>
      </c>
      <c r="N24" s="132">
        <f t="shared" si="4"/>
        <v>0.10869413163600755</v>
      </c>
      <c r="O24" s="129">
        <f>M24/M21</f>
        <v>0.82835820895522383</v>
      </c>
      <c r="Q24" t="s">
        <v>211</v>
      </c>
      <c r="R24" s="136">
        <f>S17/R17</f>
        <v>0.25456578456951173</v>
      </c>
      <c r="S24" s="129">
        <f>U17/R17</f>
        <v>0.2128214685054044</v>
      </c>
      <c r="T24" s="44">
        <f>W17/R17</f>
        <v>0.53261274692508387</v>
      </c>
      <c r="U24" s="44">
        <f>Y17/R17</f>
        <v>0</v>
      </c>
      <c r="V24" s="3"/>
      <c r="W24" s="3"/>
      <c r="X24" s="3"/>
      <c r="Y24" s="3"/>
      <c r="Z24" s="3"/>
    </row>
    <row r="25" spans="2:37" x14ac:dyDescent="0.2">
      <c r="B25" s="3"/>
      <c r="C25" s="3"/>
      <c r="D25" s="1"/>
      <c r="E25" s="44"/>
      <c r="F25" s="129"/>
      <c r="G25" s="129"/>
      <c r="H25" s="129"/>
      <c r="I25" s="130"/>
      <c r="J25" s="130"/>
      <c r="K25" s="129"/>
      <c r="L25" s="6" t="s">
        <v>176</v>
      </c>
      <c r="M25" s="128">
        <f t="shared" ref="M25" si="7">SUM(M26:M28)</f>
        <v>1807</v>
      </c>
      <c r="N25" s="132">
        <f t="shared" si="4"/>
        <v>0.12639015178009372</v>
      </c>
      <c r="O25" s="129"/>
      <c r="Q25" t="s">
        <v>229</v>
      </c>
      <c r="R25" s="136">
        <f>S18/R18</f>
        <v>0.4690277874991251</v>
      </c>
      <c r="S25" s="129">
        <f>U18/R18</f>
        <v>0.27388535031847133</v>
      </c>
      <c r="T25" s="44">
        <f>W18/R18</f>
        <v>0.13130818226359628</v>
      </c>
      <c r="U25" s="44">
        <f>Y18/R18</f>
        <v>0.14229719325260726</v>
      </c>
      <c r="V25" s="3"/>
      <c r="W25" s="3"/>
      <c r="X25" s="3"/>
      <c r="Y25" s="3"/>
      <c r="Z25" s="3"/>
    </row>
    <row r="26" spans="2:37" x14ac:dyDescent="0.2">
      <c r="B26" s="3" t="s">
        <v>213</v>
      </c>
      <c r="C26" s="3"/>
      <c r="D26" s="130"/>
      <c r="E26" s="130">
        <f>SUM(E21+E17+E13)</f>
        <v>14287</v>
      </c>
      <c r="F26" s="130"/>
      <c r="G26" s="129"/>
      <c r="H26" s="129"/>
      <c r="I26" s="130"/>
      <c r="J26" s="130"/>
      <c r="K26" s="129"/>
      <c r="L26" s="3" t="s">
        <v>164</v>
      </c>
      <c r="M26" s="38">
        <v>1530</v>
      </c>
      <c r="N26" s="132">
        <f t="shared" si="4"/>
        <v>0.1070154577883472</v>
      </c>
      <c r="O26" s="129">
        <f>M26/M25</f>
        <v>0.84670724958494747</v>
      </c>
      <c r="S26" s="43"/>
      <c r="T26" s="43"/>
      <c r="U26" s="3"/>
      <c r="V26" s="3"/>
      <c r="W26" s="3"/>
      <c r="X26" s="3"/>
      <c r="Y26" s="3"/>
      <c r="Z26" s="3"/>
    </row>
    <row r="27" spans="2:37" x14ac:dyDescent="0.2">
      <c r="B27" s="3"/>
      <c r="C27" s="44"/>
      <c r="D27" s="1"/>
      <c r="E27" s="1"/>
      <c r="F27" s="129"/>
      <c r="G27" s="129"/>
      <c r="H27" s="129"/>
      <c r="I27" s="129"/>
      <c r="J27" s="129"/>
      <c r="K27" s="129"/>
      <c r="L27" s="3" t="s">
        <v>165</v>
      </c>
      <c r="M27" s="38">
        <v>122</v>
      </c>
      <c r="N27" s="132">
        <f t="shared" si="4"/>
        <v>8.533258725606771E-3</v>
      </c>
      <c r="O27" s="129">
        <f>M27/M25</f>
        <v>6.7515218594355289E-2</v>
      </c>
      <c r="S27" s="43"/>
      <c r="T27" s="43"/>
      <c r="U27" s="3"/>
      <c r="V27" s="3"/>
      <c r="W27" s="3"/>
      <c r="X27" s="3"/>
      <c r="Y27" s="3"/>
      <c r="Z27" s="3"/>
    </row>
    <row r="28" spans="2:37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 t="s">
        <v>168</v>
      </c>
      <c r="M28" s="38">
        <v>155</v>
      </c>
      <c r="N28" s="132">
        <f t="shared" si="4"/>
        <v>1.0841435266139749E-2</v>
      </c>
      <c r="O28" s="129">
        <f>M28/M25</f>
        <v>8.5777531820697292E-2</v>
      </c>
      <c r="P28" s="3"/>
      <c r="Q28" s="6" t="s">
        <v>232</v>
      </c>
      <c r="R28" s="3"/>
      <c r="S28" s="3"/>
      <c r="T28" s="3"/>
      <c r="U28" s="3"/>
      <c r="V28" s="3" t="s">
        <v>233</v>
      </c>
      <c r="W28" s="3"/>
      <c r="X28" s="3"/>
      <c r="Y28" s="3"/>
      <c r="Z28" s="3"/>
      <c r="AC28">
        <v>2020</v>
      </c>
      <c r="AH28">
        <v>2021</v>
      </c>
    </row>
    <row r="29" spans="2:37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8"/>
      <c r="N29" s="3"/>
      <c r="O29" s="3"/>
      <c r="P29" s="3"/>
      <c r="R29" s="3" t="s">
        <v>210</v>
      </c>
      <c r="S29" s="3" t="s">
        <v>212</v>
      </c>
      <c r="T29" s="3" t="s">
        <v>211</v>
      </c>
      <c r="U29" s="3"/>
      <c r="V29" s="3"/>
      <c r="W29" s="3"/>
      <c r="X29" s="3"/>
      <c r="Y29" s="3" t="s">
        <v>229</v>
      </c>
      <c r="Z29" s="3" t="s">
        <v>214</v>
      </c>
      <c r="AC29" s="3" t="s">
        <v>210</v>
      </c>
      <c r="AD29" s="3" t="s">
        <v>212</v>
      </c>
      <c r="AE29" s="3" t="s">
        <v>211</v>
      </c>
      <c r="AF29" s="3" t="s">
        <v>229</v>
      </c>
      <c r="AH29" s="3" t="s">
        <v>210</v>
      </c>
      <c r="AI29" s="3" t="s">
        <v>212</v>
      </c>
      <c r="AJ29" s="3" t="s">
        <v>211</v>
      </c>
      <c r="AK29" s="3" t="s">
        <v>229</v>
      </c>
    </row>
    <row r="30" spans="2:37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 t="s">
        <v>213</v>
      </c>
      <c r="M30" s="38">
        <f>SUM(M13+M17+M21+M25)</f>
        <v>14297</v>
      </c>
      <c r="N30" s="3"/>
      <c r="O30" s="3"/>
      <c r="P30" s="3"/>
      <c r="Q30" s="6" t="s">
        <v>177</v>
      </c>
      <c r="R30" s="139">
        <f>R22</f>
        <v>0.71523901965542347</v>
      </c>
      <c r="S30" s="140">
        <f>R23</f>
        <v>0</v>
      </c>
      <c r="T30" s="140">
        <f>R24</f>
        <v>0.25456578456951173</v>
      </c>
      <c r="U30" s="6"/>
      <c r="V30" s="141">
        <f>SUM(V31:V33)</f>
        <v>5895</v>
      </c>
      <c r="W30" s="141">
        <f t="shared" ref="W30:X30" si="8">SUM(W31:W33)</f>
        <v>0</v>
      </c>
      <c r="X30" s="141">
        <f t="shared" si="8"/>
        <v>682.99999999999989</v>
      </c>
      <c r="Y30" s="141">
        <f>SUM(V30:X30)</f>
        <v>6578</v>
      </c>
      <c r="Z30" s="144">
        <f>Y30/$Y$47</f>
        <v>0.46041856232939038</v>
      </c>
      <c r="AC30" s="12">
        <f>SUM(AC31:AC33)</f>
        <v>5249.1391652511529</v>
      </c>
      <c r="AD30" s="12">
        <f t="shared" ref="AD30:AE30" si="9">SUM(AD31:AD33)</f>
        <v>0</v>
      </c>
      <c r="AE30" s="12">
        <f t="shared" si="9"/>
        <v>497.6761088333954</v>
      </c>
      <c r="AF30" s="12">
        <f>SUM(AC30:AE30)</f>
        <v>5746.815274084548</v>
      </c>
      <c r="AH30" s="12">
        <f>SUM(AH31:AH33)</f>
        <v>5742.654088813395</v>
      </c>
      <c r="AI30" s="12">
        <f t="shared" ref="AI30" si="10">SUM(AI31:AI33)</f>
        <v>0</v>
      </c>
      <c r="AJ30" s="12">
        <f>SUM(AJ31:AJ33)</f>
        <v>774.89824822959361</v>
      </c>
      <c r="AK30" s="12">
        <f>SUM(AH30:AJ30)</f>
        <v>6517.5523370429883</v>
      </c>
    </row>
    <row r="31" spans="2:37" x14ac:dyDescent="0.2">
      <c r="Q31" s="3" t="s">
        <v>164</v>
      </c>
      <c r="R31" s="138">
        <f>R30*O14</f>
        <v>0.48052620004308555</v>
      </c>
      <c r="S31">
        <v>0</v>
      </c>
      <c r="T31" s="137">
        <f>$T$30*O14</f>
        <v>0.17102748278345645</v>
      </c>
      <c r="V31" s="3">
        <f>$E$13*R31</f>
        <v>3960.4969407551112</v>
      </c>
      <c r="W31">
        <f>$E$21*S31</f>
        <v>0</v>
      </c>
      <c r="X31">
        <f>$E$17*T31</f>
        <v>458.86673630801363</v>
      </c>
      <c r="Y31" s="143">
        <f t="shared" ref="Y31:Y45" si="11">SUM(V31:X31)</f>
        <v>4419.3636770631247</v>
      </c>
      <c r="Z31" s="129">
        <f t="shared" ref="Z31:Z45" si="12">Y31/$Y$47</f>
        <v>0.30932761790880692</v>
      </c>
      <c r="AC31">
        <f>$I$13*R31</f>
        <v>3526.581782116205</v>
      </c>
      <c r="AD31">
        <f>$I$17*S31</f>
        <v>0</v>
      </c>
      <c r="AE31">
        <f>$I$21*T31</f>
        <v>334.35872884165735</v>
      </c>
      <c r="AF31">
        <f t="shared" ref="AF31:AF45" si="13">SUM(AC31:AE31)</f>
        <v>3860.9405109578624</v>
      </c>
      <c r="AH31">
        <f>$J$13*R31</f>
        <v>3858.1448601459338</v>
      </c>
      <c r="AI31">
        <f>$J$21*S31</f>
        <v>0</v>
      </c>
      <c r="AJ31">
        <f>$J$17*T31</f>
        <v>520.60765759284141</v>
      </c>
      <c r="AK31">
        <f t="shared" ref="AK31:AK45" si="14">SUM(AH31:AJ31)</f>
        <v>4378.7525177387752</v>
      </c>
    </row>
    <row r="32" spans="2:37" x14ac:dyDescent="0.2">
      <c r="Q32" s="3" t="s">
        <v>165</v>
      </c>
      <c r="R32" s="138">
        <f>R30*O15</f>
        <v>0.21710135292928387</v>
      </c>
      <c r="S32">
        <v>0</v>
      </c>
      <c r="T32" s="137">
        <f t="shared" ref="T32:T33" si="15">$T$30*O15</f>
        <v>7.7270079960362156E-2</v>
      </c>
      <c r="V32" s="3">
        <f t="shared" ref="V32:V45" si="16">$E$13*R32</f>
        <v>1789.3493508431577</v>
      </c>
      <c r="W32">
        <f t="shared" ref="W32:W45" si="17">$E$21*S32</f>
        <v>0</v>
      </c>
      <c r="X32">
        <f t="shared" ref="X32:X45" si="18">$E$17*T32</f>
        <v>207.31562453365166</v>
      </c>
      <c r="Y32" s="143">
        <f t="shared" si="11"/>
        <v>1996.6649753768093</v>
      </c>
      <c r="Z32" s="129">
        <f t="shared" si="12"/>
        <v>0.13975397041903895</v>
      </c>
      <c r="AC32">
        <f>$I$13*R32</f>
        <v>1593.3068291480142</v>
      </c>
      <c r="AD32">
        <f>$I$17*S32</f>
        <v>0</v>
      </c>
      <c r="AE32">
        <f>$I$21*T32</f>
        <v>151.06300632250802</v>
      </c>
      <c r="AF32">
        <f t="shared" si="13"/>
        <v>1744.3698354705223</v>
      </c>
      <c r="AH32">
        <f>$J$13*R32</f>
        <v>1743.1067626692202</v>
      </c>
      <c r="AI32">
        <f>$J$21*S32</f>
        <v>0</v>
      </c>
      <c r="AJ32">
        <f>$J$17*T32</f>
        <v>235.21012339934239</v>
      </c>
      <c r="AK32">
        <f t="shared" si="14"/>
        <v>1978.3168860685626</v>
      </c>
    </row>
    <row r="33" spans="17:37" x14ac:dyDescent="0.2">
      <c r="Q33" s="3" t="s">
        <v>168</v>
      </c>
      <c r="R33" s="138">
        <f>R30*O16</f>
        <v>1.7611466683054005E-2</v>
      </c>
      <c r="S33">
        <v>0</v>
      </c>
      <c r="T33" s="137">
        <f t="shared" si="15"/>
        <v>6.2682218256930964E-3</v>
      </c>
      <c r="V33" s="3">
        <f t="shared" si="16"/>
        <v>145.15370840173111</v>
      </c>
      <c r="W33">
        <f t="shared" si="17"/>
        <v>0</v>
      </c>
      <c r="X33">
        <f t="shared" si="18"/>
        <v>16.817639158334579</v>
      </c>
      <c r="Y33" s="143">
        <f t="shared" si="11"/>
        <v>161.97134756006568</v>
      </c>
      <c r="Z33" s="129">
        <f t="shared" si="12"/>
        <v>1.1336974001544459E-2</v>
      </c>
      <c r="AC33">
        <f>$I$13*R33</f>
        <v>129.25055398693334</v>
      </c>
      <c r="AD33">
        <f>$I$17*S33</f>
        <v>0</v>
      </c>
      <c r="AE33">
        <f>$I$21*T33</f>
        <v>12.254373669230004</v>
      </c>
      <c r="AF33">
        <f t="shared" si="13"/>
        <v>141.50492765616335</v>
      </c>
      <c r="AH33">
        <f>$J$13*R33</f>
        <v>141.40246599824061</v>
      </c>
      <c r="AI33">
        <f>$J$21*S33</f>
        <v>0</v>
      </c>
      <c r="AJ33">
        <f>$J$17*T33</f>
        <v>19.080467237409785</v>
      </c>
      <c r="AK33">
        <f t="shared" si="14"/>
        <v>160.48293323565039</v>
      </c>
    </row>
    <row r="34" spans="17:37" x14ac:dyDescent="0.2">
      <c r="Q34" s="6" t="s">
        <v>178</v>
      </c>
      <c r="R34" s="139">
        <f>S22</f>
        <v>0</v>
      </c>
      <c r="S34" s="142">
        <f>S23</f>
        <v>0.9812611540749554</v>
      </c>
      <c r="T34" s="142">
        <f>S24</f>
        <v>0.2128214685054044</v>
      </c>
      <c r="U34" s="134"/>
      <c r="V34" s="6">
        <f>SUM(V35:V37)</f>
        <v>0</v>
      </c>
      <c r="W34" s="6">
        <f t="shared" ref="W34:X34" si="19">SUM(W35:W37)</f>
        <v>3299</v>
      </c>
      <c r="X34" s="6">
        <f t="shared" si="19"/>
        <v>571</v>
      </c>
      <c r="Y34" s="141">
        <f t="shared" si="11"/>
        <v>3870</v>
      </c>
      <c r="Z34" s="144">
        <f t="shared" si="12"/>
        <v>0.27087562119409253</v>
      </c>
      <c r="AC34" s="12">
        <f>SUM(AC35:AC37)</f>
        <v>0</v>
      </c>
      <c r="AD34" s="12">
        <f t="shared" ref="AD34:AE34" si="20">SUM(AD35:AD37)</f>
        <v>2848.6011302795955</v>
      </c>
      <c r="AE34" s="12">
        <f t="shared" si="20"/>
        <v>416.06597092806561</v>
      </c>
      <c r="AF34" s="12">
        <f t="shared" si="13"/>
        <v>3264.6671012076613</v>
      </c>
      <c r="AG34" s="12"/>
      <c r="AH34" s="12">
        <f>SUM(AH35:AH37)</f>
        <v>0</v>
      </c>
      <c r="AI34" s="12">
        <f t="shared" ref="AI34:AK34" si="21">SUM(AI35:AI37)</f>
        <v>2496.3283759666865</v>
      </c>
      <c r="AJ34" s="12">
        <f t="shared" si="21"/>
        <v>647.82855013045105</v>
      </c>
      <c r="AK34" s="12">
        <f t="shared" si="21"/>
        <v>3144.1569260971378</v>
      </c>
    </row>
    <row r="35" spans="17:37" x14ac:dyDescent="0.2">
      <c r="Q35" s="3" t="s">
        <v>164</v>
      </c>
      <c r="R35">
        <v>0</v>
      </c>
      <c r="S35" s="137">
        <f>$S$34*O18</f>
        <v>0.26255569341080454</v>
      </c>
      <c r="T35" s="137">
        <f>$T$34*O18</f>
        <v>5.6944563640469813E-2</v>
      </c>
      <c r="V35" s="3">
        <f t="shared" si="16"/>
        <v>0</v>
      </c>
      <c r="W35">
        <f t="shared" si="17"/>
        <v>882.71224124712489</v>
      </c>
      <c r="X35">
        <f t="shared" si="18"/>
        <v>152.78226424738051</v>
      </c>
      <c r="Y35" s="143">
        <f t="shared" si="11"/>
        <v>1035.4945054945053</v>
      </c>
      <c r="Z35" s="129">
        <f t="shared" si="12"/>
        <v>7.24780923563033E-2</v>
      </c>
      <c r="AC35">
        <f>$I$13*R35</f>
        <v>0</v>
      </c>
      <c r="AD35">
        <f>$I$17*S35</f>
        <v>762.19917797156552</v>
      </c>
      <c r="AE35">
        <f>$I$21*T35</f>
        <v>111.32662191711849</v>
      </c>
      <c r="AF35">
        <f t="shared" si="13"/>
        <v>873.52579988868399</v>
      </c>
      <c r="AH35">
        <f>$J$13*R35</f>
        <v>0</v>
      </c>
      <c r="AI35">
        <f>$J$21*S35</f>
        <v>667.9416840370867</v>
      </c>
      <c r="AJ35">
        <f>$J$17*T35</f>
        <v>173.3392517215901</v>
      </c>
      <c r="AK35">
        <f t="shared" si="14"/>
        <v>841.28093575867683</v>
      </c>
    </row>
    <row r="36" spans="17:37" x14ac:dyDescent="0.2">
      <c r="Q36" s="3" t="s">
        <v>165</v>
      </c>
      <c r="R36">
        <v>0</v>
      </c>
      <c r="S36" s="137">
        <f t="shared" ref="S36:S37" si="22">$S$34*O19</f>
        <v>0.7029069805448761</v>
      </c>
      <c r="T36" s="137">
        <f t="shared" ref="T36:T37" si="23">$T$34*O19</f>
        <v>0.15245044115017853</v>
      </c>
      <c r="V36" s="3">
        <f t="shared" si="16"/>
        <v>0</v>
      </c>
      <c r="W36">
        <f t="shared" si="17"/>
        <v>2363.1732685918732</v>
      </c>
      <c r="X36">
        <f t="shared" si="18"/>
        <v>409.02453360592898</v>
      </c>
      <c r="Y36" s="143">
        <f t="shared" si="11"/>
        <v>2772.197802197802</v>
      </c>
      <c r="Z36" s="129">
        <f t="shared" si="12"/>
        <v>0.19403638287938699</v>
      </c>
      <c r="AC36">
        <f>$I$13*R36</f>
        <v>0</v>
      </c>
      <c r="AD36">
        <f>$I$17*S36</f>
        <v>2040.5389645217754</v>
      </c>
      <c r="AE36">
        <f>$I$21*T36</f>
        <v>298.04061244859901</v>
      </c>
      <c r="AF36">
        <f t="shared" si="13"/>
        <v>2338.5795769703745</v>
      </c>
      <c r="AH36">
        <f>$J$13*R36</f>
        <v>0</v>
      </c>
      <c r="AI36">
        <f>$J$21*S36</f>
        <v>1788.1953585061649</v>
      </c>
      <c r="AJ36">
        <f>$J$17*T36</f>
        <v>464.05914286114341</v>
      </c>
      <c r="AK36">
        <f t="shared" si="14"/>
        <v>2252.2545013673084</v>
      </c>
    </row>
    <row r="37" spans="17:37" x14ac:dyDescent="0.2">
      <c r="Q37" s="3" t="s">
        <v>168</v>
      </c>
      <c r="R37">
        <v>0</v>
      </c>
      <c r="S37" s="137">
        <f t="shared" si="22"/>
        <v>1.5798480119274774E-2</v>
      </c>
      <c r="T37" s="137">
        <f t="shared" si="23"/>
        <v>3.426463714756064E-3</v>
      </c>
      <c r="V37" s="3">
        <f t="shared" si="16"/>
        <v>0</v>
      </c>
      <c r="W37">
        <f t="shared" si="17"/>
        <v>53.11449016100179</v>
      </c>
      <c r="X37">
        <f t="shared" si="18"/>
        <v>9.1932021466905205</v>
      </c>
      <c r="Y37" s="143">
        <f t="shared" si="11"/>
        <v>62.307692307692307</v>
      </c>
      <c r="Z37" s="129">
        <f t="shared" si="12"/>
        <v>4.3611459584022051E-3</v>
      </c>
      <c r="AC37">
        <f>$I$13*R37</f>
        <v>0</v>
      </c>
      <c r="AD37">
        <f>$I$17*S37</f>
        <v>45.862987786254671</v>
      </c>
      <c r="AE37">
        <f>$I$21*T37</f>
        <v>6.6987365623481052</v>
      </c>
      <c r="AF37">
        <f t="shared" si="13"/>
        <v>52.561724348602773</v>
      </c>
      <c r="AH37">
        <f>$J$13*R37</f>
        <v>0</v>
      </c>
      <c r="AI37">
        <f>$J$21*S37</f>
        <v>40.191333423435026</v>
      </c>
      <c r="AJ37">
        <f>$J$17*T37</f>
        <v>10.430155547717458</v>
      </c>
      <c r="AK37">
        <f t="shared" si="14"/>
        <v>50.621488971152488</v>
      </c>
    </row>
    <row r="38" spans="17:37" x14ac:dyDescent="0.2">
      <c r="Q38" s="6" t="s">
        <v>179</v>
      </c>
      <c r="R38" s="139">
        <f>T22</f>
        <v>3.8097549138558603E-2</v>
      </c>
      <c r="S38" s="140">
        <f>T23</f>
        <v>1.8738845925044618E-2</v>
      </c>
      <c r="T38" s="140">
        <f>T24</f>
        <v>0.53261274692508387</v>
      </c>
      <c r="U38" s="134"/>
      <c r="V38" s="6">
        <f>SUM(V39:V41)</f>
        <v>314</v>
      </c>
      <c r="W38" s="6">
        <f t="shared" ref="W38:X38" si="24">SUM(W39:W41)</f>
        <v>63.000000000000007</v>
      </c>
      <c r="X38" s="6">
        <f t="shared" si="24"/>
        <v>1429</v>
      </c>
      <c r="Y38" s="141">
        <f t="shared" si="11"/>
        <v>1806</v>
      </c>
      <c r="Z38" s="144">
        <f t="shared" si="12"/>
        <v>0.12640862322390986</v>
      </c>
      <c r="AA38" s="134"/>
      <c r="AC38" s="12">
        <f>SUM(AC39:AC41)</f>
        <v>279.59791312788161</v>
      </c>
      <c r="AD38" s="12">
        <f t="shared" ref="AD38:AE38" si="25">SUM(AD39:AD41)</f>
        <v>54.398869720404527</v>
      </c>
      <c r="AE38" s="12">
        <f t="shared" si="25"/>
        <v>1041.2579202385391</v>
      </c>
      <c r="AF38" s="12">
        <f t="shared" si="13"/>
        <v>1375.2547030868252</v>
      </c>
      <c r="AH38" s="12">
        <f>SUM(AH39:AH41)</f>
        <v>305.88522203348703</v>
      </c>
      <c r="AI38" s="12">
        <f t="shared" ref="AI38:AJ38" si="26">SUM(AI39:AI41)</f>
        <v>47.671624033313506</v>
      </c>
      <c r="AJ38" s="12">
        <f t="shared" si="26"/>
        <v>1621.2732016399552</v>
      </c>
      <c r="AK38" s="12">
        <f t="shared" si="14"/>
        <v>1974.8300477067557</v>
      </c>
    </row>
    <row r="39" spans="17:37" x14ac:dyDescent="0.2">
      <c r="Q39" s="3" t="s">
        <v>164</v>
      </c>
      <c r="R39" s="137">
        <f>$R$38*O22</f>
        <v>8.326223425804385E-4</v>
      </c>
      <c r="S39" s="137">
        <f>$S$38*O22</f>
        <v>4.0953767746632693E-4</v>
      </c>
      <c r="T39" s="137">
        <f>$T$38*O22</f>
        <v>1.1640257262221981E-2</v>
      </c>
      <c r="V39" s="3">
        <f t="shared" si="16"/>
        <v>6.862473347547974</v>
      </c>
      <c r="W39">
        <f t="shared" si="17"/>
        <v>1.3768656716417911</v>
      </c>
      <c r="X39">
        <f t="shared" si="18"/>
        <v>31.230810234541575</v>
      </c>
      <c r="Y39" s="143">
        <f t="shared" si="11"/>
        <v>39.470149253731343</v>
      </c>
      <c r="Z39" s="129">
        <f t="shared" si="12"/>
        <v>2.7626618081984561E-3</v>
      </c>
      <c r="AC39">
        <f>$I$13*R39</f>
        <v>6.110615372197838</v>
      </c>
      <c r="AD39">
        <f>$I$17*S39</f>
        <v>1.1888878776847471</v>
      </c>
      <c r="AE39">
        <f>$I$21*T39</f>
        <v>22.756702947643973</v>
      </c>
      <c r="AF39">
        <f t="shared" si="13"/>
        <v>30.056206197526556</v>
      </c>
      <c r="AH39">
        <f>$J$13*R39</f>
        <v>6.6851247885783405</v>
      </c>
      <c r="AI39">
        <f>$J$21*S39</f>
        <v>1.0418638514743357</v>
      </c>
      <c r="AJ39">
        <f>$J$17*T39</f>
        <v>35.432943106203709</v>
      </c>
      <c r="AK39">
        <f t="shared" si="14"/>
        <v>43.159931746256383</v>
      </c>
    </row>
    <row r="40" spans="17:37" x14ac:dyDescent="0.2">
      <c r="Q40" s="3" t="s">
        <v>165</v>
      </c>
      <c r="R40" s="137">
        <f t="shared" ref="R40:R41" si="27">$R$38*O23</f>
        <v>5.7065092259781279E-3</v>
      </c>
      <c r="S40" s="137">
        <f t="shared" ref="S40:S41" si="28">$S$38*O23</f>
        <v>2.8068313992204359E-3</v>
      </c>
      <c r="T40" s="137">
        <f t="shared" ref="T40:T41" si="29">$T$38*O23</f>
        <v>7.9778348553277492E-2</v>
      </c>
      <c r="V40" s="3">
        <f t="shared" si="16"/>
        <v>47.033049040511727</v>
      </c>
      <c r="W40">
        <f t="shared" si="17"/>
        <v>9.436567164179106</v>
      </c>
      <c r="X40">
        <f t="shared" si="18"/>
        <v>214.04530916844351</v>
      </c>
      <c r="Y40" s="143">
        <f t="shared" si="11"/>
        <v>270.51492537313436</v>
      </c>
      <c r="Z40" s="129">
        <f t="shared" si="12"/>
        <v>1.8934340685457712E-2</v>
      </c>
      <c r="AC40">
        <f>$I$13*R40</f>
        <v>41.880071209453483</v>
      </c>
      <c r="AD40">
        <f>$I$17*S40</f>
        <v>8.1482315519369255</v>
      </c>
      <c r="AE40">
        <f>$I$21*T40</f>
        <v>155.96667142165751</v>
      </c>
      <c r="AF40">
        <f t="shared" si="13"/>
        <v>205.99497418304793</v>
      </c>
      <c r="AH40">
        <f>$J$13*R40</f>
        <v>45.817562575378389</v>
      </c>
      <c r="AI40">
        <f>$J$21*S40</f>
        <v>7.1405790796167885</v>
      </c>
      <c r="AJ40">
        <f>$J$17*T40</f>
        <v>242.84529299617668</v>
      </c>
      <c r="AK40">
        <f t="shared" si="14"/>
        <v>295.80343465117187</v>
      </c>
    </row>
    <row r="41" spans="17:37" x14ac:dyDescent="0.2">
      <c r="Q41" s="3" t="s">
        <v>168</v>
      </c>
      <c r="R41" s="137">
        <f t="shared" si="27"/>
        <v>3.1558417570000039E-2</v>
      </c>
      <c r="S41" s="137">
        <f t="shared" si="28"/>
        <v>1.5522476848357855E-2</v>
      </c>
      <c r="T41" s="137">
        <f t="shared" si="29"/>
        <v>0.44119414110958438</v>
      </c>
      <c r="V41" s="3">
        <f t="shared" si="16"/>
        <v>260.1044776119403</v>
      </c>
      <c r="W41">
        <f t="shared" si="17"/>
        <v>52.18656716417911</v>
      </c>
      <c r="X41">
        <f t="shared" si="18"/>
        <v>1183.7238805970148</v>
      </c>
      <c r="Y41" s="143">
        <f t="shared" si="11"/>
        <v>1496.0149253731342</v>
      </c>
      <c r="Z41" s="129">
        <f t="shared" si="12"/>
        <v>0.10471162073025367</v>
      </c>
      <c r="AC41">
        <f>$I$13*R41</f>
        <v>231.60722654623029</v>
      </c>
      <c r="AD41">
        <f>$I$17*S41</f>
        <v>45.061750290782854</v>
      </c>
      <c r="AE41">
        <f>$I$21*T41</f>
        <v>862.53454586923749</v>
      </c>
      <c r="AF41">
        <f t="shared" si="13"/>
        <v>1139.2035227062506</v>
      </c>
      <c r="AH41">
        <f>$J$13*R41</f>
        <v>253.38253466953032</v>
      </c>
      <c r="AI41">
        <f>$J$21*S41</f>
        <v>39.489181102222382</v>
      </c>
      <c r="AJ41">
        <f>$J$17*T41</f>
        <v>1342.9949655375749</v>
      </c>
      <c r="AK41">
        <f t="shared" si="14"/>
        <v>1635.8666813093275</v>
      </c>
    </row>
    <row r="42" spans="17:37" x14ac:dyDescent="0.2">
      <c r="Q42" s="6" t="s">
        <v>176</v>
      </c>
      <c r="R42" s="140">
        <f>U22</f>
        <v>0.24666343120601797</v>
      </c>
      <c r="S42" s="140">
        <f>U23</f>
        <v>0</v>
      </c>
      <c r="T42" s="140">
        <f>U24</f>
        <v>0</v>
      </c>
      <c r="U42" s="134"/>
      <c r="V42" s="6">
        <f>SUM(V43:V45)</f>
        <v>2033</v>
      </c>
      <c r="W42" s="6">
        <f t="shared" ref="W42:X42" si="30">SUM(W43:W45)</f>
        <v>0</v>
      </c>
      <c r="X42" s="6">
        <f t="shared" si="30"/>
        <v>0</v>
      </c>
      <c r="Y42" s="141">
        <f t="shared" si="11"/>
        <v>2033</v>
      </c>
      <c r="Z42" s="144">
        <f t="shared" si="12"/>
        <v>0.14229719325260726</v>
      </c>
      <c r="AA42" s="134"/>
      <c r="AB42" s="134"/>
      <c r="AC42" s="12">
        <f>SUM(AC43:AC45)</f>
        <v>1810.2629216209662</v>
      </c>
      <c r="AD42" s="12">
        <f t="shared" ref="AD42:AE42" si="31">SUM(AD43:AD45)</f>
        <v>0</v>
      </c>
      <c r="AE42" s="12">
        <f t="shared" si="31"/>
        <v>0</v>
      </c>
      <c r="AF42" s="12">
        <f t="shared" si="13"/>
        <v>1810.2629216209662</v>
      </c>
      <c r="AH42" s="134">
        <f>SUM(AH43:AH45)</f>
        <v>1980.4606891531184</v>
      </c>
      <c r="AI42" s="134">
        <f t="shared" ref="AI42:AJ42" si="32">SUM(AI43:AI45)</f>
        <v>0</v>
      </c>
      <c r="AJ42" s="134">
        <f t="shared" si="32"/>
        <v>0</v>
      </c>
      <c r="AK42">
        <f t="shared" si="14"/>
        <v>1980.4606891531184</v>
      </c>
    </row>
    <row r="43" spans="17:37" x14ac:dyDescent="0.2">
      <c r="Q43" s="3" t="s">
        <v>164</v>
      </c>
      <c r="R43" s="138">
        <f>$R$42*O26</f>
        <v>0.20885171540963338</v>
      </c>
      <c r="S43" s="138">
        <v>0</v>
      </c>
      <c r="T43" s="138">
        <v>0</v>
      </c>
      <c r="V43" s="3">
        <f t="shared" si="16"/>
        <v>1721.3558384061982</v>
      </c>
      <c r="W43">
        <f t="shared" si="17"/>
        <v>0</v>
      </c>
      <c r="X43">
        <f t="shared" si="18"/>
        <v>0</v>
      </c>
      <c r="Y43" s="143">
        <f t="shared" si="11"/>
        <v>1721.3558384061982</v>
      </c>
      <c r="Z43" s="129">
        <f t="shared" si="12"/>
        <v>0.12048406512257284</v>
      </c>
      <c r="AC43">
        <f>$I$13*R43</f>
        <v>1532.7627393912994</v>
      </c>
      <c r="AD43">
        <f>$I$17*S43</f>
        <v>0</v>
      </c>
      <c r="AE43">
        <f>$I$21*T43</f>
        <v>0</v>
      </c>
      <c r="AF43">
        <f t="shared" si="13"/>
        <v>1532.7627393912994</v>
      </c>
      <c r="AH43">
        <f t="shared" ref="AH43:AI45" si="33">$J$13*R43</f>
        <v>1676.8704230239464</v>
      </c>
      <c r="AI43">
        <f t="shared" si="33"/>
        <v>0</v>
      </c>
      <c r="AJ43">
        <f>$J$17*T43</f>
        <v>0</v>
      </c>
      <c r="AK43">
        <f t="shared" si="14"/>
        <v>1676.8704230239464</v>
      </c>
    </row>
    <row r="44" spans="17:37" x14ac:dyDescent="0.2">
      <c r="Q44" s="3" t="s">
        <v>165</v>
      </c>
      <c r="R44" s="138">
        <f t="shared" ref="R44:R45" si="34">$R$42*O27</f>
        <v>1.665353547710802E-2</v>
      </c>
      <c r="S44" s="138">
        <v>0</v>
      </c>
      <c r="T44" s="138">
        <v>0</v>
      </c>
      <c r="V44" s="3">
        <f t="shared" si="16"/>
        <v>137.25843940232431</v>
      </c>
      <c r="W44">
        <f t="shared" si="17"/>
        <v>0</v>
      </c>
      <c r="X44">
        <f t="shared" si="18"/>
        <v>0</v>
      </c>
      <c r="Y44" s="143">
        <f t="shared" si="11"/>
        <v>137.25843940232431</v>
      </c>
      <c r="Z44" s="129">
        <f t="shared" si="12"/>
        <v>9.6072261078129981E-3</v>
      </c>
      <c r="AC44">
        <f>$I$13*R44</f>
        <v>122.22029686649576</v>
      </c>
      <c r="AD44">
        <f>$I$17*S44</f>
        <v>0</v>
      </c>
      <c r="AE44">
        <f>$I$21*T44</f>
        <v>0</v>
      </c>
      <c r="AF44">
        <f t="shared" si="13"/>
        <v>122.22029686649576</v>
      </c>
      <c r="AH44">
        <f t="shared" si="33"/>
        <v>133.71123634570029</v>
      </c>
      <c r="AI44">
        <f t="shared" si="33"/>
        <v>0</v>
      </c>
      <c r="AJ44">
        <f>$J$17*T44</f>
        <v>0</v>
      </c>
      <c r="AK44">
        <f t="shared" si="14"/>
        <v>133.71123634570029</v>
      </c>
    </row>
    <row r="45" spans="17:37" x14ac:dyDescent="0.2">
      <c r="Q45" s="3" t="s">
        <v>168</v>
      </c>
      <c r="R45" s="138">
        <f t="shared" si="34"/>
        <v>2.1158180319276583E-2</v>
      </c>
      <c r="S45" s="138">
        <v>0</v>
      </c>
      <c r="T45" s="138">
        <v>0</v>
      </c>
      <c r="V45" s="3">
        <f t="shared" si="16"/>
        <v>174.38572219147758</v>
      </c>
      <c r="W45">
        <f t="shared" si="17"/>
        <v>0</v>
      </c>
      <c r="X45">
        <f t="shared" si="18"/>
        <v>0</v>
      </c>
      <c r="Y45" s="143">
        <f t="shared" si="11"/>
        <v>174.38572219147758</v>
      </c>
      <c r="Z45" s="129">
        <f t="shared" si="12"/>
        <v>1.2205902022221431E-2</v>
      </c>
      <c r="AC45">
        <f>$I$13*R45</f>
        <v>155.27988536317085</v>
      </c>
      <c r="AD45">
        <f>$I$17*S45</f>
        <v>0</v>
      </c>
      <c r="AE45">
        <f>$I$21*T45</f>
        <v>0</v>
      </c>
      <c r="AF45">
        <f t="shared" si="13"/>
        <v>155.27988536317085</v>
      </c>
      <c r="AH45">
        <f t="shared" si="33"/>
        <v>169.87902978347168</v>
      </c>
      <c r="AI45">
        <f t="shared" si="33"/>
        <v>0</v>
      </c>
      <c r="AJ45">
        <f>$J$17*T45</f>
        <v>0</v>
      </c>
      <c r="AK45">
        <f t="shared" si="14"/>
        <v>169.87902978347168</v>
      </c>
    </row>
    <row r="47" spans="17:37" x14ac:dyDescent="0.2">
      <c r="X47" t="s">
        <v>234</v>
      </c>
      <c r="Y47" s="141">
        <f>SUM(Y42,Y38,Y34,Y30)</f>
        <v>14287</v>
      </c>
      <c r="AE47" t="s">
        <v>234</v>
      </c>
      <c r="AF47">
        <f>AF30+AF34+AF38+AF42</f>
        <v>12197</v>
      </c>
      <c r="AJ47" t="s">
        <v>234</v>
      </c>
      <c r="AK47">
        <f>AK42+AK38+AK34+AK30</f>
        <v>13617</v>
      </c>
    </row>
    <row r="48" spans="17:37" x14ac:dyDescent="0.2">
      <c r="Q48" s="3"/>
      <c r="R48" s="138">
        <f>SUM(R43:R45,R39:R41,R31:R33)</f>
        <v>1</v>
      </c>
      <c r="S48" s="138">
        <f>SUM(S39:S41,S35:S37)</f>
        <v>1</v>
      </c>
      <c r="T48" s="138">
        <f>SUM(T43:T45,T39:T41,T35:T37,T31:T33)</f>
        <v>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3992-512D-C141-98E2-6306078AD9A2}">
  <dimension ref="A1:R73"/>
  <sheetViews>
    <sheetView showGridLines="0" workbookViewId="0">
      <selection activeCell="D73" sqref="D73"/>
    </sheetView>
  </sheetViews>
  <sheetFormatPr baseColWidth="10" defaultColWidth="10.83203125" defaultRowHeight="16" x14ac:dyDescent="0.2"/>
  <cols>
    <col min="1" max="1" width="3.1640625" style="3" customWidth="1"/>
    <col min="2" max="2" width="46.83203125" style="3" bestFit="1" customWidth="1"/>
    <col min="3" max="3" width="10.83203125" style="3" bestFit="1" customWidth="1"/>
    <col min="4" max="4" width="8.1640625" style="3" bestFit="1" customWidth="1"/>
    <col min="5" max="5" width="8" style="3" bestFit="1" customWidth="1"/>
    <col min="6" max="6" width="8.1640625" style="3" bestFit="1" customWidth="1"/>
    <col min="7" max="12" width="7.83203125" style="3" bestFit="1" customWidth="1"/>
    <col min="13" max="14" width="10.83203125" style="3"/>
    <col min="15" max="15" width="14.5" style="3" bestFit="1" customWidth="1"/>
    <col min="16" max="16" width="22.33203125" style="3" bestFit="1" customWidth="1"/>
    <col min="17" max="16384" width="10.83203125" style="3"/>
  </cols>
  <sheetData>
    <row r="1" spans="1:13" x14ac:dyDescent="0.2">
      <c r="A1" s="3" t="s">
        <v>4</v>
      </c>
      <c r="B1" s="45" t="s">
        <v>83</v>
      </c>
      <c r="C1" s="215" t="s">
        <v>1</v>
      </c>
      <c r="D1" s="215"/>
      <c r="E1" s="215"/>
      <c r="F1" s="215"/>
      <c r="G1" s="215"/>
      <c r="H1" s="215" t="s">
        <v>2</v>
      </c>
      <c r="I1" s="215"/>
      <c r="J1" s="215"/>
      <c r="K1" s="215"/>
      <c r="L1" s="215"/>
    </row>
    <row r="2" spans="1:13" x14ac:dyDescent="0.2">
      <c r="B2" s="70"/>
      <c r="C2" s="36">
        <v>2020</v>
      </c>
      <c r="D2" s="36">
        <f>C2+1</f>
        <v>2021</v>
      </c>
      <c r="E2" s="36">
        <f t="shared" ref="E2:L2" si="0">D2+1</f>
        <v>2022</v>
      </c>
      <c r="F2" s="36">
        <f t="shared" si="0"/>
        <v>2023</v>
      </c>
      <c r="G2" s="36">
        <f t="shared" si="0"/>
        <v>2024</v>
      </c>
      <c r="H2" s="36">
        <f t="shared" si="0"/>
        <v>2025</v>
      </c>
      <c r="I2" s="36">
        <f t="shared" si="0"/>
        <v>2026</v>
      </c>
      <c r="J2" s="36">
        <f t="shared" si="0"/>
        <v>2027</v>
      </c>
      <c r="K2" s="36">
        <f t="shared" si="0"/>
        <v>2028</v>
      </c>
      <c r="L2" s="36">
        <f t="shared" si="0"/>
        <v>2029</v>
      </c>
    </row>
    <row r="3" spans="1:13" x14ac:dyDescent="0.2">
      <c r="B3" s="3" t="s">
        <v>84</v>
      </c>
    </row>
    <row r="4" spans="1:13" x14ac:dyDescent="0.2"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3" x14ac:dyDescent="0.2">
      <c r="B5" s="3" t="s">
        <v>85</v>
      </c>
      <c r="C5" s="44">
        <f>'Balance Sheet'!C7/'Income Statement Historical'!C5</f>
        <v>0.17378222330649751</v>
      </c>
      <c r="D5" s="44">
        <f>'Balance Sheet'!D7/'Income Statement Historical'!D5</f>
        <v>0.15935065880468807</v>
      </c>
      <c r="E5" s="44">
        <f>'Balance Sheet'!E7/'Income Statement Historical'!E5</f>
        <v>0.16323978883023063</v>
      </c>
      <c r="F5" s="44">
        <f>'Balance Sheet'!F7/'Income Statement Historical'!F5</f>
        <v>0.15733903355356912</v>
      </c>
      <c r="G5" s="44">
        <f>'Balance Sheet'!G7/'Income Statement Historical'!G5</f>
        <v>0.15874444844556476</v>
      </c>
      <c r="H5" s="88">
        <f>AVERAGE(C5:G5)</f>
        <v>0.16249123058811005</v>
      </c>
      <c r="I5" s="88">
        <f>H5</f>
        <v>0.16249123058811005</v>
      </c>
      <c r="J5" s="88">
        <f t="shared" ref="J5:L5" si="1">I5</f>
        <v>0.16249123058811005</v>
      </c>
      <c r="K5" s="88">
        <f t="shared" si="1"/>
        <v>0.16249123058811005</v>
      </c>
      <c r="L5" s="88">
        <f t="shared" si="1"/>
        <v>0.16249123058811005</v>
      </c>
    </row>
    <row r="6" spans="1:13" x14ac:dyDescent="0.2"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3" x14ac:dyDescent="0.2">
      <c r="B7" s="3" t="s">
        <v>241</v>
      </c>
      <c r="C7" s="44">
        <f>'Balance Sheet'!C8/'Income Statement Historical'!C5</f>
        <v>2.2444498658209321E-2</v>
      </c>
      <c r="D7" s="44">
        <f>'Balance Sheet'!D8/'Income Statement Historical'!D5</f>
        <v>1.9946130887384436E-2</v>
      </c>
      <c r="E7" s="44">
        <f>'Balance Sheet'!E8/'Income Statement Historical'!E5</f>
        <v>1.9936093359266462E-2</v>
      </c>
      <c r="F7" s="44">
        <f>'Balance Sheet'!F8/'Income Statement Historical'!F5</f>
        <v>2.0080321285140562E-2</v>
      </c>
      <c r="G7" s="44">
        <f>'Balance Sheet'!G8/'Income Statement Historical'!G5</f>
        <v>1.8905293482175008E-2</v>
      </c>
      <c r="H7" s="88">
        <f>AVERAGE(C7:G7)</f>
        <v>2.0262467534435159E-2</v>
      </c>
      <c r="I7" s="88">
        <f>H7</f>
        <v>2.0262467534435159E-2</v>
      </c>
      <c r="J7" s="88">
        <f t="shared" ref="J7:L7" si="2">I7</f>
        <v>2.0262467534435159E-2</v>
      </c>
      <c r="K7" s="88">
        <f t="shared" si="2"/>
        <v>2.0262467534435159E-2</v>
      </c>
      <c r="L7" s="88">
        <f t="shared" si="2"/>
        <v>2.0262467534435159E-2</v>
      </c>
    </row>
    <row r="8" spans="1:13" x14ac:dyDescent="0.2"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3" x14ac:dyDescent="0.2">
      <c r="B9" s="3" t="s">
        <v>86</v>
      </c>
      <c r="C9" s="44">
        <f>'Balance Sheet'!C9/'Income Statement Historical'!C5</f>
        <v>3.2690900219565749E-2</v>
      </c>
      <c r="D9" s="44">
        <f>'Balance Sheet'!D9/'Income Statement Historical'!D5</f>
        <v>3.1229526097401178E-2</v>
      </c>
      <c r="E9" s="44">
        <f>'Balance Sheet'!E9/'Income Statement Historical'!E5</f>
        <v>3.4037232564601276E-2</v>
      </c>
      <c r="F9" s="44">
        <f>'Balance Sheet'!F9/'Income Statement Historical'!F5</f>
        <v>3.1675087446560432E-2</v>
      </c>
      <c r="G9" s="44">
        <f>'Balance Sheet'!G9/'Income Statement Historical'!G5</f>
        <v>3.1508822470291679E-2</v>
      </c>
      <c r="H9" s="88">
        <f>AVERAGE(C9:G9)</f>
        <v>3.2228313759684067E-2</v>
      </c>
      <c r="I9" s="88">
        <f>H9</f>
        <v>3.2228313759684067E-2</v>
      </c>
      <c r="J9" s="88">
        <f t="shared" ref="J9:L9" si="3">I9</f>
        <v>3.2228313759684067E-2</v>
      </c>
      <c r="K9" s="88">
        <f t="shared" si="3"/>
        <v>3.2228313759684067E-2</v>
      </c>
      <c r="L9" s="88">
        <f t="shared" si="3"/>
        <v>3.2228313759684067E-2</v>
      </c>
    </row>
    <row r="10" spans="1:13" x14ac:dyDescent="0.2"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3" x14ac:dyDescent="0.2">
      <c r="B11" s="3" t="s">
        <v>87</v>
      </c>
      <c r="C11" s="44">
        <f>'Balance Sheet'!C16/'Income Statement Historical'!C5</f>
        <v>4.7247296088476866E-2</v>
      </c>
      <c r="D11" s="44">
        <f>'Balance Sheet'!D16/'Income Statement Historical'!D5</f>
        <v>4.4551212055033852E-2</v>
      </c>
      <c r="E11" s="44">
        <f>'Balance Sheet'!E16/'Income Statement Historical'!E5</f>
        <v>3.7857738260627952E-2</v>
      </c>
      <c r="F11" s="44">
        <f>'Balance Sheet'!F16/'Income Statement Historical'!F5</f>
        <v>3.3164917735457961E-2</v>
      </c>
      <c r="G11" s="44">
        <f>'Balance Sheet'!G16/'Income Statement Historical'!G5</f>
        <v>3.3609410634977792E-2</v>
      </c>
      <c r="H11" s="88">
        <f>AVERAGE(E11:G11)</f>
        <v>3.4877355543687899E-2</v>
      </c>
      <c r="I11" s="88">
        <f>H11</f>
        <v>3.4877355543687899E-2</v>
      </c>
      <c r="J11" s="88">
        <f t="shared" ref="J11:L11" si="4">I11</f>
        <v>3.4877355543687899E-2</v>
      </c>
      <c r="K11" s="88">
        <f t="shared" si="4"/>
        <v>3.4877355543687899E-2</v>
      </c>
      <c r="L11" s="88">
        <f t="shared" si="4"/>
        <v>3.4877355543687899E-2</v>
      </c>
    </row>
    <row r="12" spans="1:13" x14ac:dyDescent="0.2"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spans="1:13" x14ac:dyDescent="0.2">
      <c r="B13" s="3" t="s">
        <v>88</v>
      </c>
      <c r="C13" s="44">
        <f>'Balance Sheet'!C17/'Income Statement Historical'!C5</f>
        <v>3.7244856469057494E-2</v>
      </c>
      <c r="D13" s="44">
        <f>'Balance Sheet'!D17/'Income Statement Historical'!D5</f>
        <v>3.195748707869258E-2</v>
      </c>
      <c r="E13" s="44">
        <f>'Balance Sheet'!E17/'Income Statement Historical'!E5</f>
        <v>2.6951931091969993E-2</v>
      </c>
      <c r="F13" s="44">
        <f>'Balance Sheet'!F17/'Income Statement Historical'!F5</f>
        <v>2.8371550719005052E-2</v>
      </c>
      <c r="G13" s="44">
        <f>'Balance Sheet'!G17/'Income Statement Historical'!G5</f>
        <v>3.1448805665586367E-2</v>
      </c>
      <c r="H13" s="88">
        <f>AVERAGE(C13:G13)</f>
        <v>3.1194926204862295E-2</v>
      </c>
      <c r="I13" s="88">
        <f>H13</f>
        <v>3.1194926204862295E-2</v>
      </c>
      <c r="J13" s="88">
        <f t="shared" ref="J13:L13" si="5">I13</f>
        <v>3.1194926204862295E-2</v>
      </c>
      <c r="K13" s="88">
        <f t="shared" si="5"/>
        <v>3.1194926204862295E-2</v>
      </c>
      <c r="L13" s="88">
        <f t="shared" si="5"/>
        <v>3.1194926204862295E-2</v>
      </c>
    </row>
    <row r="14" spans="1:13" x14ac:dyDescent="0.2">
      <c r="C14" s="44"/>
      <c r="D14" s="44"/>
      <c r="E14" s="44"/>
      <c r="F14" s="44"/>
      <c r="G14" s="44"/>
      <c r="H14"/>
      <c r="I14"/>
      <c r="J14"/>
      <c r="K14"/>
      <c r="L14"/>
    </row>
    <row r="15" spans="1:13" x14ac:dyDescent="0.2">
      <c r="B15" s="3" t="s">
        <v>245</v>
      </c>
      <c r="C15" s="44">
        <f>'Balance Sheet'!C14/'Income Statement Historical'!C5</f>
        <v>9.8885907131820772E-2</v>
      </c>
      <c r="D15" s="44">
        <f>'Balance Sheet'!D14/'Income Statement Historical'!D5</f>
        <v>8.5681007497998105E-2</v>
      </c>
      <c r="E15" s="44">
        <f>'Balance Sheet'!E14/'Income Statement Historical'!E5</f>
        <v>6.6129480411225336E-2</v>
      </c>
      <c r="F15" s="44">
        <f>'Balance Sheet'!F14/'Income Statement Historical'!F5</f>
        <v>4.3205078378028242E-2</v>
      </c>
      <c r="G15" s="44">
        <f>'Balance Sheet'!G14/'Income Statement Historical'!G5</f>
        <v>3.1028688032649143E-2</v>
      </c>
      <c r="H15" s="152">
        <f>G15*$H$16+G15</f>
        <v>2.3347431124371546E-2</v>
      </c>
      <c r="I15" s="152">
        <f t="shared" ref="I15:L15" si="6">H15*$H$16+H15</f>
        <v>1.7567695402838271E-2</v>
      </c>
      <c r="J15" s="152">
        <f t="shared" si="6"/>
        <v>1.3218752852203232E-2</v>
      </c>
      <c r="K15" s="152">
        <f t="shared" si="6"/>
        <v>9.9464057726889148E-3</v>
      </c>
      <c r="L15" s="152">
        <f t="shared" si="6"/>
        <v>7.4841393058112955E-3</v>
      </c>
      <c r="M15"/>
    </row>
    <row r="16" spans="1:13" x14ac:dyDescent="0.2">
      <c r="D16" s="129">
        <f>(D15-C15)/C15</f>
        <v>-0.13353671940552411</v>
      </c>
      <c r="E16" s="129">
        <f t="shared" ref="E16:G16" si="7">(E15-D15)/D15</f>
        <v>-0.22818974306796733</v>
      </c>
      <c r="F16" s="129">
        <f t="shared" si="7"/>
        <v>-0.34665933998939641</v>
      </c>
      <c r="G16" s="129">
        <f t="shared" si="7"/>
        <v>-0.28182775734926918</v>
      </c>
      <c r="H16" s="147">
        <f>AVERAGE(D16:G16)</f>
        <v>-0.24755338995303927</v>
      </c>
    </row>
    <row r="17" spans="1:16" x14ac:dyDescent="0.2">
      <c r="A17" s="3" t="s">
        <v>4</v>
      </c>
      <c r="B17" s="3" t="s">
        <v>89</v>
      </c>
      <c r="P17" s="3" t="s">
        <v>90</v>
      </c>
    </row>
    <row r="18" spans="1:16" x14ac:dyDescent="0.2">
      <c r="B18" s="71" t="s">
        <v>91</v>
      </c>
      <c r="C18" s="58"/>
      <c r="D18" s="58"/>
      <c r="E18" s="58"/>
      <c r="F18" s="58">
        <v>0</v>
      </c>
      <c r="G18" s="58">
        <f>F41</f>
        <v>961</v>
      </c>
      <c r="H18" s="58">
        <f t="shared" ref="H18:L18" si="8">G41</f>
        <v>991</v>
      </c>
      <c r="I18" s="58">
        <f t="shared" si="8"/>
        <v>1101.9402960182929</v>
      </c>
      <c r="J18" s="58">
        <f t="shared" si="8"/>
        <v>1186.2047931040938</v>
      </c>
      <c r="K18" s="58">
        <f t="shared" si="8"/>
        <v>1263.7403990434073</v>
      </c>
      <c r="L18" s="69">
        <f t="shared" si="8"/>
        <v>1334.3678646860217</v>
      </c>
      <c r="O18" s="3" t="s">
        <v>92</v>
      </c>
      <c r="P18" s="3" t="s">
        <v>93</v>
      </c>
    </row>
    <row r="19" spans="1:16" x14ac:dyDescent="0.2">
      <c r="B19" s="72" t="s">
        <v>94</v>
      </c>
      <c r="F19" s="3">
        <v>0</v>
      </c>
      <c r="G19" s="3">
        <f>G21-G18+G20</f>
        <v>121</v>
      </c>
      <c r="H19" s="3">
        <f t="shared" ref="H19:L19" si="9">H21-H18+H20</f>
        <v>149.58481120423028</v>
      </c>
      <c r="I19" s="3">
        <f t="shared" si="9"/>
        <v>141.43627789710411</v>
      </c>
      <c r="J19" s="3">
        <f t="shared" si="9"/>
        <v>130.14196829996854</v>
      </c>
      <c r="K19" s="3">
        <f t="shared" si="9"/>
        <v>118.54679257891451</v>
      </c>
      <c r="L19" s="15">
        <f t="shared" si="9"/>
        <v>93.534470951128128</v>
      </c>
    </row>
    <row r="20" spans="1:16" x14ac:dyDescent="0.2">
      <c r="B20" s="72" t="s">
        <v>95</v>
      </c>
      <c r="F20" s="3">
        <v>0</v>
      </c>
      <c r="G20" s="3">
        <f>G39-F39</f>
        <v>91</v>
      </c>
      <c r="H20" s="3">
        <f t="shared" ref="H20:L20" si="10">H39-G39</f>
        <v>38.644515185937394</v>
      </c>
      <c r="I20" s="3">
        <f t="shared" si="10"/>
        <v>57.171780811303165</v>
      </c>
      <c r="J20" s="3">
        <f t="shared" si="10"/>
        <v>52.606362360655112</v>
      </c>
      <c r="K20" s="3">
        <f t="shared" si="10"/>
        <v>47.919326936300081</v>
      </c>
      <c r="L20" s="15">
        <f t="shared" si="10"/>
        <v>37.808774036103273</v>
      </c>
    </row>
    <row r="21" spans="1:16" x14ac:dyDescent="0.2">
      <c r="A21" s="3" t="s">
        <v>4</v>
      </c>
      <c r="B21" s="73" t="s">
        <v>96</v>
      </c>
      <c r="F21" s="3">
        <f>F41</f>
        <v>961</v>
      </c>
      <c r="G21" s="6">
        <f>G41</f>
        <v>991</v>
      </c>
      <c r="H21" s="6">
        <f t="shared" ref="H21:L21" si="11">H41</f>
        <v>1101.9402960182929</v>
      </c>
      <c r="I21" s="6">
        <f t="shared" si="11"/>
        <v>1186.2047931040938</v>
      </c>
      <c r="J21" s="6">
        <f t="shared" si="11"/>
        <v>1263.7403990434073</v>
      </c>
      <c r="K21" s="6">
        <f t="shared" si="11"/>
        <v>1334.3678646860217</v>
      </c>
      <c r="L21" s="16">
        <f t="shared" si="11"/>
        <v>1390.0935616010465</v>
      </c>
    </row>
    <row r="22" spans="1:16" x14ac:dyDescent="0.2">
      <c r="B22" s="72"/>
      <c r="L22" s="15"/>
    </row>
    <row r="23" spans="1:16" x14ac:dyDescent="0.2">
      <c r="B23" s="72" t="s">
        <v>197</v>
      </c>
      <c r="F23" s="25">
        <v>455</v>
      </c>
      <c r="G23" s="25">
        <v>473</v>
      </c>
      <c r="H23" s="74">
        <f>'Income Statement Historical'!H5*'Balance Sheet Build'!H24</f>
        <v>523.80664486048329</v>
      </c>
      <c r="I23" s="74">
        <f>'Income Statement Historical'!I5*'Balance Sheet Build'!I24</f>
        <v>558.92007566045197</v>
      </c>
      <c r="J23" s="74">
        <f>'Income Statement Historical'!J5*'Balance Sheet Build'!J24</f>
        <v>598.08670804315261</v>
      </c>
      <c r="K23" s="74">
        <f>'Income Statement Historical'!K5*'Balance Sheet Build'!K24</f>
        <v>630.12242668443776</v>
      </c>
      <c r="L23" s="75">
        <f>'Income Statement Historical'!L5*'Balance Sheet Build'!L24</f>
        <v>657.16156355610042</v>
      </c>
    </row>
    <row r="24" spans="1:16" x14ac:dyDescent="0.2">
      <c r="B24" s="72" t="s">
        <v>205</v>
      </c>
      <c r="F24" s="85">
        <f>F23/'Income Statement Historical'!F5</f>
        <v>2.947272962819018E-2</v>
      </c>
      <c r="G24" s="85">
        <f>G23/'Income Statement Historical'!G5</f>
        <v>2.8387948625615174E-2</v>
      </c>
      <c r="H24" s="83">
        <f>AVERAGE(F24:G24)</f>
        <v>2.8930339126902675E-2</v>
      </c>
      <c r="I24" s="83">
        <f t="shared" ref="I24:L24" si="12">AVERAGE(G24:H24)</f>
        <v>2.8659143876258925E-2</v>
      </c>
      <c r="J24" s="83">
        <f t="shared" si="12"/>
        <v>2.87947415015808E-2</v>
      </c>
      <c r="K24" s="83">
        <f t="shared" si="12"/>
        <v>2.8726942688919864E-2</v>
      </c>
      <c r="L24" s="84">
        <f t="shared" si="12"/>
        <v>2.876084209525033E-2</v>
      </c>
    </row>
    <row r="25" spans="1:16" x14ac:dyDescent="0.2">
      <c r="B25" s="72" t="s">
        <v>198</v>
      </c>
      <c r="F25" s="25">
        <v>455</v>
      </c>
      <c r="G25" s="25">
        <v>567</v>
      </c>
      <c r="H25" s="3">
        <f>'Income Statement Historical'!H5*H26</f>
        <v>574.87927299636135</v>
      </c>
      <c r="I25" s="3">
        <f>'Income Statement Historical'!I5*I26</f>
        <v>641.43803574327512</v>
      </c>
      <c r="J25" s="3">
        <f>'Income Statement Historical'!J5*J26</f>
        <v>671.32390389194018</v>
      </c>
      <c r="K25" s="3">
        <f>'Income Statement Historical'!K5*K26</f>
        <v>715.19879737454119</v>
      </c>
      <c r="L25" s="15">
        <f>'Income Statement Historical'!L5*L26</f>
        <v>741.75576525534188</v>
      </c>
    </row>
    <row r="26" spans="1:16" x14ac:dyDescent="0.2">
      <c r="B26" s="72" t="s">
        <v>204</v>
      </c>
      <c r="F26" s="85">
        <f>F25/'Income Statement Historical'!F5</f>
        <v>2.947272962819018E-2</v>
      </c>
      <c r="G26" s="85">
        <f>G25/'Income Statement Historical'!G5</f>
        <v>3.4029528267915013E-2</v>
      </c>
      <c r="H26" s="83">
        <f>AVERAGE(F26:G26)</f>
        <v>3.1751128948052598E-2</v>
      </c>
      <c r="I26" s="83">
        <f t="shared" ref="I26:L36" si="13">AVERAGE(G26:H26)</f>
        <v>3.2890328607983806E-2</v>
      </c>
      <c r="J26" s="83">
        <f t="shared" si="13"/>
        <v>3.2320728778018198E-2</v>
      </c>
      <c r="K26" s="83">
        <f t="shared" si="13"/>
        <v>3.2605528693000999E-2</v>
      </c>
      <c r="L26" s="84">
        <f t="shared" si="13"/>
        <v>3.2463128735509598E-2</v>
      </c>
    </row>
    <row r="27" spans="1:16" s="49" customFormat="1" x14ac:dyDescent="0.2">
      <c r="A27" s="3"/>
      <c r="B27" s="72" t="s">
        <v>199</v>
      </c>
      <c r="C27" s="3"/>
      <c r="D27" s="3"/>
      <c r="E27" s="3"/>
      <c r="F27" s="25">
        <v>277</v>
      </c>
      <c r="G27" s="25">
        <v>321</v>
      </c>
      <c r="H27" s="150">
        <f>'Income Statement Historical'!H5*H28</f>
        <v>336.84132125957575</v>
      </c>
      <c r="I27" s="150">
        <f>'Income Statement Historical'!I5*I28</f>
        <v>369.2713570711249</v>
      </c>
      <c r="J27" s="150">
        <f>'Income Statement Historical'!J5*J28</f>
        <v>389.85339505303443</v>
      </c>
      <c r="K27" s="150">
        <f>'Income Statement Historical'!K5*K28</f>
        <v>413.51802438541984</v>
      </c>
      <c r="L27" s="151">
        <f>'Income Statement Historical'!L5*L28</f>
        <v>429.80972691653358</v>
      </c>
    </row>
    <row r="28" spans="1:16" x14ac:dyDescent="0.2">
      <c r="B28" s="72" t="s">
        <v>203</v>
      </c>
      <c r="F28" s="85">
        <f>F27/'Income Statement Historical'!F5</f>
        <v>1.7942738696722374E-2</v>
      </c>
      <c r="G28" s="85">
        <f>G27/'Income Statement Historical'!G5</f>
        <v>1.9265394310406914E-2</v>
      </c>
      <c r="H28" s="83">
        <f t="shared" ref="H28:H36" si="14">AVERAGE(F28:G28)</f>
        <v>1.8604066503564644E-2</v>
      </c>
      <c r="I28" s="83">
        <f t="shared" si="13"/>
        <v>1.8934730406985779E-2</v>
      </c>
      <c r="J28" s="83">
        <f t="shared" si="13"/>
        <v>1.8769398455275213E-2</v>
      </c>
      <c r="K28" s="83">
        <f t="shared" si="13"/>
        <v>1.8852064431130494E-2</v>
      </c>
      <c r="L28" s="84">
        <f t="shared" si="13"/>
        <v>1.8810731443202854E-2</v>
      </c>
    </row>
    <row r="29" spans="1:16" x14ac:dyDescent="0.2">
      <c r="B29" s="72" t="s">
        <v>200</v>
      </c>
      <c r="F29" s="25">
        <v>137</v>
      </c>
      <c r="G29" s="25">
        <v>137</v>
      </c>
      <c r="H29" s="150">
        <f>'Income Statement Historical'!H5*H30</f>
        <v>154.77289856278298</v>
      </c>
      <c r="I29" s="150">
        <f>'Income Statement Historical'!I5*I30</f>
        <v>163.53246305333312</v>
      </c>
      <c r="J29" s="150">
        <f>'Income Statement Historical'!J5*J30</f>
        <v>175.86059624074369</v>
      </c>
      <c r="K29" s="150">
        <f>'Income Statement Historical'!K5*K30</f>
        <v>184.82390181717076</v>
      </c>
      <c r="L29" s="151">
        <f>'Income Statement Historical'!L5*L30</f>
        <v>192.99315674737269</v>
      </c>
    </row>
    <row r="30" spans="1:16" x14ac:dyDescent="0.2">
      <c r="B30" s="72" t="s">
        <v>97</v>
      </c>
      <c r="F30" s="44">
        <f>F29/'Income Statement Historical'!F5</f>
        <v>8.8742065034330877E-3</v>
      </c>
      <c r="G30" s="44">
        <f>G29/'Income Statement Historical'!G5</f>
        <v>8.2223022446284953E-3</v>
      </c>
      <c r="H30" s="83">
        <f t="shared" si="14"/>
        <v>8.5482543740307906E-3</v>
      </c>
      <c r="I30" s="83">
        <f t="shared" si="13"/>
        <v>8.385278309329643E-3</v>
      </c>
      <c r="J30" s="83">
        <f t="shared" si="13"/>
        <v>8.4667663416802159E-3</v>
      </c>
      <c r="K30" s="83">
        <f t="shared" si="13"/>
        <v>8.4260223255049303E-3</v>
      </c>
      <c r="L30" s="84">
        <f t="shared" si="13"/>
        <v>8.4463943335925731E-3</v>
      </c>
    </row>
    <row r="31" spans="1:16" x14ac:dyDescent="0.2">
      <c r="B31" s="72" t="s">
        <v>201</v>
      </c>
      <c r="F31" s="25">
        <v>66</v>
      </c>
      <c r="G31" s="25">
        <v>78</v>
      </c>
      <c r="H31" s="150">
        <f>'Income Statement Historical'!H5*H32</f>
        <v>81.082036289710302</v>
      </c>
      <c r="I31" s="150">
        <f>'Income Statement Historical'!I5*I32</f>
        <v>89.316270162994272</v>
      </c>
      <c r="J31" s="150">
        <f>'Income Statement Historical'!J5*J32</f>
        <v>94.07059240976713</v>
      </c>
      <c r="K31" s="150">
        <f>'Income Statement Historical'!K5*K32</f>
        <v>99.900065249903534</v>
      </c>
      <c r="L31" s="151">
        <f>'Income Statement Historical'!L5*L32</f>
        <v>103.77406523173268</v>
      </c>
    </row>
    <row r="32" spans="1:16" x14ac:dyDescent="0.2">
      <c r="B32" s="72" t="s">
        <v>202</v>
      </c>
      <c r="F32" s="44">
        <f>F31/'Income Statement Historical'!F5</f>
        <v>4.275165176836378E-3</v>
      </c>
      <c r="G32" s="44">
        <f>G31/'Income Statement Historical'!G5</f>
        <v>4.6813107670147644E-3</v>
      </c>
      <c r="H32" s="83">
        <f t="shared" si="14"/>
        <v>4.4782379719255708E-3</v>
      </c>
      <c r="I32" s="83">
        <f t="shared" si="13"/>
        <v>4.579774369470168E-3</v>
      </c>
      <c r="J32" s="83">
        <f t="shared" si="13"/>
        <v>4.5290061706978694E-3</v>
      </c>
      <c r="K32" s="83">
        <f t="shared" si="13"/>
        <v>4.5543902700840187E-3</v>
      </c>
      <c r="L32" s="84">
        <f t="shared" si="13"/>
        <v>4.5416982203909436E-3</v>
      </c>
    </row>
    <row r="33" spans="1:18" x14ac:dyDescent="0.2">
      <c r="B33" s="72" t="s">
        <v>206</v>
      </c>
      <c r="F33" s="25">
        <v>17</v>
      </c>
      <c r="G33" s="25">
        <v>17</v>
      </c>
      <c r="H33" s="150">
        <f>'Income Statement Historical'!H5*H34</f>
        <v>19.205396172024166</v>
      </c>
      <c r="I33" s="150">
        <f>'Income Statement Historical'!I5*I34</f>
        <v>20.292349429975641</v>
      </c>
      <c r="J33" s="150">
        <f>'Income Statement Historical'!J5*J34</f>
        <v>21.822117781698125</v>
      </c>
      <c r="K33" s="150">
        <f>'Income Statement Historical'!K5*K34</f>
        <v>22.934352780232867</v>
      </c>
      <c r="L33" s="151">
        <f>'Income Statement Historical'!L5*L34</f>
        <v>23.94805594675428</v>
      </c>
    </row>
    <row r="34" spans="1:18" x14ac:dyDescent="0.2">
      <c r="B34" s="72" t="s">
        <v>207</v>
      </c>
      <c r="F34" s="44">
        <f>F33/'Income Statement Historical'!F5</f>
        <v>1.1011789091851275E-3</v>
      </c>
      <c r="G34" s="44">
        <f>G33/'Income Statement Historical'!G5</f>
        <v>1.0202856799903972E-3</v>
      </c>
      <c r="H34" s="83">
        <f t="shared" si="14"/>
        <v>1.0607322945877624E-3</v>
      </c>
      <c r="I34" s="83">
        <f t="shared" si="13"/>
        <v>1.0405089872890798E-3</v>
      </c>
      <c r="J34" s="83">
        <f t="shared" si="13"/>
        <v>1.0506206409384212E-3</v>
      </c>
      <c r="K34" s="83">
        <f t="shared" si="13"/>
        <v>1.0455648141137505E-3</v>
      </c>
      <c r="L34" s="84">
        <f t="shared" si="13"/>
        <v>1.0480927275260859E-3</v>
      </c>
    </row>
    <row r="35" spans="1:18" x14ac:dyDescent="0.2">
      <c r="B35" s="72" t="s">
        <v>98</v>
      </c>
      <c r="F35" s="25">
        <v>172</v>
      </c>
      <c r="G35" s="25">
        <v>107</v>
      </c>
      <c r="H35" s="150">
        <f>'Income Statement Historical'!H5*H36</f>
        <v>158.99724106329256</v>
      </c>
      <c r="I35" s="150">
        <f>'Income Statement Historical'!I5*I36</f>
        <v>148.25053798017936</v>
      </c>
      <c r="J35" s="150">
        <f>'Income Statement Historical'!J5*J36</f>
        <v>170.14574398096681</v>
      </c>
      <c r="K35" s="150">
        <f>'Income Statement Historical'!K5*K36</f>
        <v>173.21228168851104</v>
      </c>
      <c r="L35" s="151">
        <f>'Income Statement Historical'!L5*L36</f>
        <v>183.80198727751016</v>
      </c>
    </row>
    <row r="36" spans="1:18" x14ac:dyDescent="0.2">
      <c r="B36" s="72" t="s">
        <v>99</v>
      </c>
      <c r="F36" s="44">
        <f>F35/'Income Statement Historical'!F5</f>
        <v>1.1141339551755409E-2</v>
      </c>
      <c r="G36" s="44">
        <f>G35/'Income Statement Historical'!G5</f>
        <v>6.4217981034689715E-3</v>
      </c>
      <c r="H36" s="83">
        <f t="shared" si="14"/>
        <v>8.7815688276121906E-3</v>
      </c>
      <c r="I36" s="83">
        <f t="shared" si="13"/>
        <v>7.6016834655405815E-3</v>
      </c>
      <c r="J36" s="83">
        <f t="shared" si="13"/>
        <v>8.1916261465763869E-3</v>
      </c>
      <c r="K36" s="83">
        <f t="shared" si="13"/>
        <v>7.8966548060584833E-3</v>
      </c>
      <c r="L36" s="84">
        <f t="shared" si="13"/>
        <v>8.0441404763174351E-3</v>
      </c>
    </row>
    <row r="37" spans="1:18" x14ac:dyDescent="0.2">
      <c r="B37" s="72" t="s">
        <v>100</v>
      </c>
      <c r="F37" s="3">
        <f>SUM(F23,F25,F27,F29,F31,F33,F35)</f>
        <v>1579</v>
      </c>
      <c r="G37" s="3">
        <f>SUM(G23,G25,G27,G29,G31,G33,G35)</f>
        <v>1700</v>
      </c>
      <c r="H37" s="3">
        <f>SUM(H23,H25,H27,H29,H31,H33,H35)</f>
        <v>1849.5848112042304</v>
      </c>
      <c r="I37" s="3">
        <f t="shared" ref="I37:L37" si="15">SUM(I23,I25,I27,I29,I31,I33,I35)</f>
        <v>1991.0210891013344</v>
      </c>
      <c r="J37" s="3">
        <f t="shared" si="15"/>
        <v>2121.1630574013029</v>
      </c>
      <c r="K37" s="3">
        <f t="shared" si="15"/>
        <v>2239.7098499802173</v>
      </c>
      <c r="L37" s="15">
        <f t="shared" si="15"/>
        <v>2333.2443209313456</v>
      </c>
      <c r="Q37" s="76"/>
      <c r="R37" s="76"/>
    </row>
    <row r="38" spans="1:18" x14ac:dyDescent="0.2">
      <c r="B38" s="72"/>
      <c r="L38" s="15"/>
    </row>
    <row r="39" spans="1:18" x14ac:dyDescent="0.2">
      <c r="B39" s="72" t="s">
        <v>101</v>
      </c>
      <c r="F39" s="25">
        <v>618</v>
      </c>
      <c r="G39" s="25">
        <v>709</v>
      </c>
      <c r="H39" s="3">
        <f>H37*H40</f>
        <v>747.64451518593739</v>
      </c>
      <c r="I39" s="3">
        <f t="shared" ref="I39:L39" si="16">I37*I40</f>
        <v>804.81629599724056</v>
      </c>
      <c r="J39" s="3">
        <f t="shared" si="16"/>
        <v>857.42265835789567</v>
      </c>
      <c r="K39" s="3">
        <f t="shared" si="16"/>
        <v>905.34198529419575</v>
      </c>
      <c r="L39" s="15">
        <f t="shared" si="16"/>
        <v>943.15075933029902</v>
      </c>
    </row>
    <row r="40" spans="1:18" x14ac:dyDescent="0.2">
      <c r="B40" s="72" t="s">
        <v>102</v>
      </c>
      <c r="F40" s="85">
        <f>F39/F37</f>
        <v>0.3913869537682077</v>
      </c>
      <c r="G40" s="85">
        <f>G39/G37</f>
        <v>0.41705882352941176</v>
      </c>
      <c r="H40" s="1">
        <f>AVERAGE(F40:G40)</f>
        <v>0.40422288864880973</v>
      </c>
      <c r="I40" s="1">
        <f>H40</f>
        <v>0.40422288864880973</v>
      </c>
      <c r="J40" s="1">
        <f t="shared" ref="J40:L40" si="17">I40</f>
        <v>0.40422288864880973</v>
      </c>
      <c r="K40" s="1">
        <f t="shared" si="17"/>
        <v>0.40422288864880973</v>
      </c>
      <c r="L40" s="48">
        <f t="shared" si="17"/>
        <v>0.40422288864880973</v>
      </c>
    </row>
    <row r="41" spans="1:18" x14ac:dyDescent="0.2">
      <c r="B41" s="77" t="s">
        <v>103</v>
      </c>
      <c r="C41" s="78"/>
      <c r="D41" s="78"/>
      <c r="E41" s="78"/>
      <c r="F41" s="79">
        <f>F37-F39</f>
        <v>961</v>
      </c>
      <c r="G41" s="79">
        <f>G37-G39</f>
        <v>991</v>
      </c>
      <c r="H41" s="78">
        <f>H37-H39</f>
        <v>1101.9402960182929</v>
      </c>
      <c r="I41" s="78">
        <f t="shared" ref="I41:L41" si="18">I37-I39</f>
        <v>1186.2047931040938</v>
      </c>
      <c r="J41" s="78">
        <f t="shared" si="18"/>
        <v>1263.7403990434073</v>
      </c>
      <c r="K41" s="78">
        <f t="shared" si="18"/>
        <v>1334.3678646860217</v>
      </c>
      <c r="L41" s="80">
        <f t="shared" si="18"/>
        <v>1390.0935616010465</v>
      </c>
    </row>
    <row r="43" spans="1:18" x14ac:dyDescent="0.2">
      <c r="A43" s="6" t="s">
        <v>4</v>
      </c>
      <c r="B43" s="6" t="s">
        <v>104</v>
      </c>
    </row>
    <row r="44" spans="1:18" x14ac:dyDescent="0.2">
      <c r="B44" s="3" t="s">
        <v>105</v>
      </c>
      <c r="C44" s="1">
        <f>'Balance Sheet'!C23/'Income Statement Historical'!C15</f>
        <v>6.4695990795645628E-2</v>
      </c>
      <c r="D44" s="1">
        <f>'Balance Sheet'!D23/'Income Statement Historical'!D15</f>
        <v>5.4986094557012317E-2</v>
      </c>
      <c r="E44" s="1">
        <f>'Balance Sheet'!E23/'Income Statement Historical'!E15</f>
        <v>5.5079651337541329E-2</v>
      </c>
      <c r="F44" s="1">
        <f>'Balance Sheet'!F23/'Income Statement Historical'!F15</f>
        <v>4.9672673280691096E-2</v>
      </c>
      <c r="G44" s="1">
        <f>'Balance Sheet'!G23/'Income Statement Historical'!G15</f>
        <v>4.7522750252780584E-2</v>
      </c>
      <c r="H44" s="83">
        <f>AVERAGE(E44:G44)</f>
        <v>5.0758358290337667E-2</v>
      </c>
      <c r="I44" s="83">
        <f>H44</f>
        <v>5.0758358290337667E-2</v>
      </c>
      <c r="J44" s="83">
        <f t="shared" ref="J44:L44" si="19">I44</f>
        <v>5.0758358290337667E-2</v>
      </c>
      <c r="K44" s="83">
        <f t="shared" si="19"/>
        <v>5.0758358290337667E-2</v>
      </c>
      <c r="L44" s="83">
        <f t="shared" si="19"/>
        <v>5.0758358290337667E-2</v>
      </c>
    </row>
    <row r="45" spans="1:18" x14ac:dyDescent="0.2"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8" x14ac:dyDescent="0.2">
      <c r="B46" s="3" t="s">
        <v>106</v>
      </c>
      <c r="C46" s="1">
        <f>'Balance Sheet'!C24/'Income Statement Historical'!C15</f>
        <v>8.3104699530931941E-2</v>
      </c>
      <c r="D46" s="1">
        <f>'Balance Sheet'!D24/'Income Statement Historical'!D15</f>
        <v>8.3671036948748514E-2</v>
      </c>
      <c r="E46" s="1">
        <f>'Balance Sheet'!E24/'Income Statement Historical'!E15</f>
        <v>5.8010219416892092E-2</v>
      </c>
      <c r="F46" s="1">
        <f>'Balance Sheet'!F24/'Income Statement Historical'!F15</f>
        <v>5.5746777350340823E-2</v>
      </c>
      <c r="G46" s="1">
        <f>'Balance Sheet'!G24/'Income Statement Historical'!G15</f>
        <v>5.9521402089652849E-2</v>
      </c>
      <c r="H46" s="83">
        <f>AVERAGE(E46:G46)</f>
        <v>5.7759466285628586E-2</v>
      </c>
      <c r="I46" s="83">
        <f>H46</f>
        <v>5.7759466285628586E-2</v>
      </c>
      <c r="J46" s="83">
        <f t="shared" ref="J46:L46" si="20">I46</f>
        <v>5.7759466285628586E-2</v>
      </c>
      <c r="K46" s="83">
        <f t="shared" si="20"/>
        <v>5.7759466285628586E-2</v>
      </c>
      <c r="L46" s="83">
        <f t="shared" si="20"/>
        <v>5.7759466285628586E-2</v>
      </c>
    </row>
    <row r="47" spans="1:18" x14ac:dyDescent="0.2">
      <c r="C47" s="1"/>
      <c r="D47" s="1"/>
      <c r="E47" s="1"/>
      <c r="F47" s="1"/>
      <c r="G47" s="1"/>
      <c r="H47"/>
      <c r="I47"/>
      <c r="J47"/>
      <c r="K47"/>
      <c r="L47"/>
    </row>
    <row r="48" spans="1:18" x14ac:dyDescent="0.2">
      <c r="B48" s="3" t="s">
        <v>247</v>
      </c>
      <c r="C48" s="1">
        <f>'Balance Sheet'!C27/'Income Statement Historical'!C15</f>
        <v>5.5934153464908397E-2</v>
      </c>
      <c r="D48" s="1">
        <f>'Balance Sheet'!D27/'Income Statement Historical'!D15</f>
        <v>4.8073102900278109E-2</v>
      </c>
      <c r="E48" s="1">
        <f>'Balance Sheet'!E27/'Income Statement Historical'!E15</f>
        <v>5.2675082657048393E-2</v>
      </c>
      <c r="F48" s="1">
        <f>'Balance Sheet'!F27/'Income Statement Historical'!F15</f>
        <v>4.6905581426739555E-2</v>
      </c>
      <c r="G48" s="1">
        <f>'Balance Sheet'!G27/'Income Statement Historical'!G15</f>
        <v>5.4668014829794408E-2</v>
      </c>
      <c r="H48" s="83">
        <f>AVERAGE(C48:G48)</f>
        <v>5.1651187055753778E-2</v>
      </c>
      <c r="I48" s="83">
        <f>H48</f>
        <v>5.1651187055753778E-2</v>
      </c>
      <c r="J48" s="83">
        <f t="shared" ref="J48:L48" si="21">I48</f>
        <v>5.1651187055753778E-2</v>
      </c>
      <c r="K48" s="83">
        <f t="shared" si="21"/>
        <v>5.1651187055753778E-2</v>
      </c>
      <c r="L48" s="83">
        <f t="shared" si="21"/>
        <v>5.1651187055753778E-2</v>
      </c>
    </row>
    <row r="49" spans="1:14" x14ac:dyDescent="0.2">
      <c r="C49" s="1"/>
      <c r="D49" s="1"/>
      <c r="E49" s="1"/>
      <c r="F49" s="1"/>
      <c r="G49" s="1"/>
      <c r="H49" s="149"/>
      <c r="I49" s="149"/>
      <c r="J49" s="149"/>
      <c r="K49" s="149"/>
      <c r="L49" s="149"/>
    </row>
    <row r="50" spans="1:14" x14ac:dyDescent="0.2">
      <c r="B50" s="3" t="s">
        <v>246</v>
      </c>
      <c r="C50" s="1">
        <f>'Balance Sheet'!C25/'Income Statement Historical'!C5</f>
        <v>3.9115231357241605E-2</v>
      </c>
      <c r="D50" s="1">
        <f>'Balance Sheet'!D25/'Income Statement Historical'!D5</f>
        <v>2.6497779719007061E-2</v>
      </c>
      <c r="E50" s="1">
        <f>'Balance Sheet'!E25/'Income Statement Historical'!E5</f>
        <v>2.6396221172547928E-2</v>
      </c>
      <c r="F50" s="1">
        <f>'Balance Sheet'!F25/'Income Statement Historical'!F5</f>
        <v>2.8630651638813318E-2</v>
      </c>
      <c r="G50" s="1">
        <f>'Balance Sheet'!G25/'Income Statement Historical'!G5</f>
        <v>1.9985595966870724E-2</v>
      </c>
      <c r="H50" s="83">
        <f>AVERAGE(C50:G50)</f>
        <v>2.812509597089613E-2</v>
      </c>
      <c r="I50" s="83">
        <f>H50</f>
        <v>2.812509597089613E-2</v>
      </c>
      <c r="J50" s="83">
        <f t="shared" ref="J50:L50" si="22">I50</f>
        <v>2.812509597089613E-2</v>
      </c>
      <c r="K50" s="83">
        <f t="shared" si="22"/>
        <v>2.812509597089613E-2</v>
      </c>
      <c r="L50" s="83">
        <f t="shared" si="22"/>
        <v>2.812509597089613E-2</v>
      </c>
    </row>
    <row r="51" spans="1:14" x14ac:dyDescent="0.2"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4" x14ac:dyDescent="0.2">
      <c r="B52" s="3" t="s">
        <v>294</v>
      </c>
      <c r="C52" s="1">
        <f>'Balance Sheet'!C28/('Balance Sheet'!C32+'Balance Sheet'!C28)</f>
        <v>2.1079258010118045E-2</v>
      </c>
      <c r="D52" s="1">
        <f>'Balance Sheet'!D28/('Balance Sheet'!D32+'Balance Sheet'!D28)</f>
        <v>9.5153664302600471E-2</v>
      </c>
      <c r="E52" s="1">
        <f>'Balance Sheet'!E28/('Balance Sheet'!E32+'Balance Sheet'!E28)</f>
        <v>0.2016260162601626</v>
      </c>
      <c r="F52" s="1">
        <f>'Balance Sheet'!F28/('Balance Sheet'!F32+'Balance Sheet'!F28)</f>
        <v>3.8445108927808629E-3</v>
      </c>
      <c r="G52" s="1">
        <f>'Balance Sheet'!G28/('Balance Sheet'!G32+'Balance Sheet'!G28)</f>
        <v>0.13233404710920771</v>
      </c>
      <c r="H52" s="83">
        <f>G52</f>
        <v>0.13233404710920771</v>
      </c>
      <c r="I52" s="83">
        <f t="shared" ref="I52:L52" si="23">H52</f>
        <v>0.13233404710920771</v>
      </c>
      <c r="J52" s="83">
        <f t="shared" si="23"/>
        <v>0.13233404710920771</v>
      </c>
      <c r="K52" s="83">
        <f t="shared" si="23"/>
        <v>0.13233404710920771</v>
      </c>
      <c r="L52" s="83">
        <f t="shared" si="23"/>
        <v>0.13233404710920771</v>
      </c>
    </row>
    <row r="53" spans="1:14" s="154" customFormat="1" x14ac:dyDescent="0.2"/>
    <row r="54" spans="1:14" x14ac:dyDescent="0.2">
      <c r="B54" s="3" t="s">
        <v>107</v>
      </c>
      <c r="C54" s="1">
        <f>'Balance Sheet'!C32/'Income Statement Historical'!C5</f>
        <v>0.37765308611856552</v>
      </c>
      <c r="D54" s="1">
        <f>'Balance Sheet'!D32/'Income Statement Historical'!D5</f>
        <v>0.3343524787071413</v>
      </c>
      <c r="E54" s="1">
        <f>'Balance Sheet'!E32/'Income Statement Historical'!E5</f>
        <v>0.27285357043623226</v>
      </c>
      <c r="F54" s="1">
        <f>'Balance Sheet'!F32/'Income Statement Historical'!F5</f>
        <v>0.30211167249643739</v>
      </c>
      <c r="G54" s="1">
        <f>'Balance Sheet'!G32/'Income Statement Historical'!G5</f>
        <v>0.24318809266594646</v>
      </c>
      <c r="H54" s="83">
        <f>AVERAGE(D54:G54)</f>
        <v>0.28812645357643935</v>
      </c>
      <c r="I54" s="83">
        <f>H54</f>
        <v>0.28812645357643935</v>
      </c>
      <c r="J54" s="83">
        <f t="shared" ref="J54:L54" si="24">I54</f>
        <v>0.28812645357643935</v>
      </c>
      <c r="K54" s="83">
        <f t="shared" si="24"/>
        <v>0.28812645357643935</v>
      </c>
      <c r="L54" s="83">
        <f t="shared" si="24"/>
        <v>0.28812645357643935</v>
      </c>
    </row>
    <row r="55" spans="1:14" x14ac:dyDescent="0.2"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4" x14ac:dyDescent="0.2">
      <c r="B56" s="3" t="s">
        <v>108</v>
      </c>
      <c r="C56" s="1">
        <f>'Balance Sheet'!C33/'Balance Sheet'!C16</f>
        <v>0.97074010327022375</v>
      </c>
      <c r="D56" s="1">
        <f>'Balance Sheet'!D33/'Balance Sheet'!D16</f>
        <v>0.96241830065359479</v>
      </c>
      <c r="E56" s="1">
        <f>'Balance Sheet'!E33/'Balance Sheet'!E16</f>
        <v>1.0458715596330275</v>
      </c>
      <c r="F56" s="1">
        <f>'Balance Sheet'!F33/'Balance Sheet'!F16</f>
        <v>1.0078125</v>
      </c>
      <c r="G56" s="1">
        <f>'Balance Sheet'!G33/'Balance Sheet'!G16</f>
        <v>1.1089285714285715</v>
      </c>
      <c r="H56" s="83">
        <f>AVERAGE(C56:G56)</f>
        <v>1.0191542069970834</v>
      </c>
      <c r="I56" s="83">
        <f>H56</f>
        <v>1.0191542069970834</v>
      </c>
      <c r="J56" s="83">
        <f t="shared" ref="J56:L56" si="25">I56</f>
        <v>1.0191542069970834</v>
      </c>
      <c r="K56" s="83">
        <f t="shared" si="25"/>
        <v>1.0191542069970834</v>
      </c>
      <c r="L56" s="83">
        <f t="shared" si="25"/>
        <v>1.0191542069970834</v>
      </c>
    </row>
    <row r="58" spans="1:14" x14ac:dyDescent="0.2">
      <c r="A58" s="6" t="s">
        <v>4</v>
      </c>
      <c r="B58" s="6" t="s">
        <v>109</v>
      </c>
    </row>
    <row r="60" spans="1:14" x14ac:dyDescent="0.2">
      <c r="B60" s="71" t="s">
        <v>110</v>
      </c>
      <c r="C60" s="58"/>
      <c r="D60" s="58">
        <f>C62</f>
        <v>2580</v>
      </c>
      <c r="E60" s="58">
        <f t="shared" ref="E60:G60" si="26">D62</f>
        <v>2423</v>
      </c>
      <c r="F60" s="58">
        <f t="shared" si="26"/>
        <v>2005</v>
      </c>
      <c r="G60" s="58">
        <f t="shared" si="26"/>
        <v>1885</v>
      </c>
      <c r="H60" s="58">
        <f>G62</f>
        <v>1112</v>
      </c>
      <c r="I60" s="58">
        <f t="shared" ref="I60:L60" si="27">H62</f>
        <v>1021.47105</v>
      </c>
      <c r="J60" s="58">
        <f t="shared" si="27"/>
        <v>923.95940099999996</v>
      </c>
      <c r="K60" s="58">
        <f t="shared" si="27"/>
        <v>820.10594080999999</v>
      </c>
      <c r="L60" s="69">
        <f t="shared" si="27"/>
        <v>710.43147361939998</v>
      </c>
    </row>
    <row r="61" spans="1:14" x14ac:dyDescent="0.2">
      <c r="B61" s="72" t="s">
        <v>111</v>
      </c>
      <c r="C61" s="81">
        <f>62+(-105)+36</f>
        <v>-7</v>
      </c>
      <c r="D61" s="81">
        <f>67+46+(-270)</f>
        <v>-157</v>
      </c>
      <c r="E61" s="81">
        <f>51+73+(-542)</f>
        <v>-418</v>
      </c>
      <c r="F61" s="81">
        <f>77+(-3)+53+(-247)</f>
        <v>-120</v>
      </c>
      <c r="G61" s="81">
        <f>55+85+(-913)</f>
        <v>-773</v>
      </c>
      <c r="H61" s="3">
        <f>'Revenue Build'!H19*'Balance Sheet Build'!H64</f>
        <v>-90.528950000000023</v>
      </c>
      <c r="I61" s="3">
        <f>'Revenue Build'!I19*'Balance Sheet Build'!I64</f>
        <v>-97.511649000000006</v>
      </c>
      <c r="J61" s="3">
        <f>'Revenue Build'!J19*'Balance Sheet Build'!J64</f>
        <v>-103.85346019000002</v>
      </c>
      <c r="K61" s="3">
        <f>'Revenue Build'!K19*'Balance Sheet Build'!K64</f>
        <v>-109.67446719060003</v>
      </c>
      <c r="L61" s="15">
        <f>'Revenue Build'!L19*'Balance Sheet Build'!L64</f>
        <v>-114.24588358360802</v>
      </c>
      <c r="N61" s="3" t="s">
        <v>236</v>
      </c>
    </row>
    <row r="62" spans="1:14" x14ac:dyDescent="0.2">
      <c r="B62" s="72" t="s">
        <v>112</v>
      </c>
      <c r="C62" s="41">
        <f>'Balance Sheet'!C41</f>
        <v>2580</v>
      </c>
      <c r="D62" s="41">
        <f>'Balance Sheet'!D41</f>
        <v>2423</v>
      </c>
      <c r="E62" s="41">
        <f>'Balance Sheet'!E41</f>
        <v>2005</v>
      </c>
      <c r="F62" s="41">
        <f>'Balance Sheet'!F41</f>
        <v>1885</v>
      </c>
      <c r="G62" s="41">
        <f>'Balance Sheet'!G41</f>
        <v>1112</v>
      </c>
      <c r="H62" s="3">
        <f>H60+H61</f>
        <v>1021.47105</v>
      </c>
      <c r="I62" s="3">
        <f t="shared" ref="I62:L62" si="28">I60+I61</f>
        <v>923.95940099999996</v>
      </c>
      <c r="J62" s="3">
        <f t="shared" si="28"/>
        <v>820.10594080999999</v>
      </c>
      <c r="K62" s="3">
        <f t="shared" si="28"/>
        <v>710.43147361939998</v>
      </c>
      <c r="L62" s="15">
        <f t="shared" si="28"/>
        <v>596.18559003579196</v>
      </c>
    </row>
    <row r="63" spans="1:14" x14ac:dyDescent="0.2">
      <c r="B63" s="72"/>
      <c r="L63" s="15"/>
    </row>
    <row r="64" spans="1:14" x14ac:dyDescent="0.2">
      <c r="B64" s="77" t="s">
        <v>113</v>
      </c>
      <c r="C64" s="86">
        <f>C61/'Revenue Build'!C19</f>
        <v>-5.7391161761088797E-4</v>
      </c>
      <c r="D64" s="86">
        <f>D61/'Revenue Build'!D19</f>
        <v>-1.1529705515164867E-2</v>
      </c>
      <c r="E64" s="86">
        <f>E61/'Revenue Build'!E19</f>
        <v>-2.9236902846751067E-2</v>
      </c>
      <c r="F64" s="86">
        <f>F61/'Revenue Build'!F19</f>
        <v>-7.8231957754742818E-3</v>
      </c>
      <c r="G64" s="86">
        <f>G61/'Revenue Build'!G19</f>
        <v>-4.6633687258687259E-2</v>
      </c>
      <c r="H64" s="86">
        <f>-0.005</f>
        <v>-5.0000000000000001E-3</v>
      </c>
      <c r="I64" s="86">
        <f t="shared" ref="I64:L64" si="29">-0.005</f>
        <v>-5.0000000000000001E-3</v>
      </c>
      <c r="J64" s="86">
        <f t="shared" si="29"/>
        <v>-5.0000000000000001E-3</v>
      </c>
      <c r="K64" s="86">
        <f t="shared" si="29"/>
        <v>-5.0000000000000001E-3</v>
      </c>
      <c r="L64" s="87">
        <f t="shared" si="29"/>
        <v>-5.0000000000000001E-3</v>
      </c>
    </row>
    <row r="66" spans="2:12" x14ac:dyDescent="0.2">
      <c r="B66" s="3" t="s">
        <v>114</v>
      </c>
      <c r="D66" s="3">
        <f>C70</f>
        <v>-46</v>
      </c>
      <c r="E66" s="3">
        <f t="shared" ref="E66:G66" si="30">D70</f>
        <v>-12</v>
      </c>
      <c r="F66" s="3">
        <f t="shared" si="30"/>
        <v>-73</v>
      </c>
      <c r="G66" s="3">
        <f t="shared" si="30"/>
        <v>-48</v>
      </c>
      <c r="H66" s="3">
        <f>G70</f>
        <v>-110</v>
      </c>
      <c r="I66" s="3">
        <f t="shared" ref="I66:L66" si="31">H70</f>
        <v>422.71802584724264</v>
      </c>
      <c r="J66" s="3">
        <f t="shared" si="31"/>
        <v>1057.1694247866478</v>
      </c>
      <c r="K66" s="3">
        <f t="shared" si="31"/>
        <v>1793.3376990624511</v>
      </c>
      <c r="L66" s="3">
        <f t="shared" si="31"/>
        <v>2630.4131389608765</v>
      </c>
    </row>
    <row r="67" spans="2:12" x14ac:dyDescent="0.2">
      <c r="B67" s="3" t="s">
        <v>115</v>
      </c>
      <c r="C67" s="25">
        <v>195</v>
      </c>
      <c r="D67" s="82">
        <v>201</v>
      </c>
      <c r="E67" s="82">
        <v>198</v>
      </c>
      <c r="F67" s="25">
        <v>202</v>
      </c>
      <c r="G67" s="25">
        <v>208</v>
      </c>
      <c r="H67" s="40">
        <f>H72*'Income Statement Historical'!H28</f>
        <v>358.56461707931464</v>
      </c>
      <c r="I67" s="40">
        <f>I72*'Income Statement Historical'!I28</f>
        <v>407.31781188537946</v>
      </c>
      <c r="J67" s="40">
        <f>J72*'Income Statement Historical'!J28</f>
        <v>454.83879377280664</v>
      </c>
      <c r="K67" s="40">
        <f>K72*'Income Statement Historical'!K28</f>
        <v>501.08143073319735</v>
      </c>
      <c r="L67" s="40">
        <f>L72*'Income Statement Historical'!L28</f>
        <v>542.16505020255534</v>
      </c>
    </row>
    <row r="68" spans="2:12" x14ac:dyDescent="0.2">
      <c r="B68" s="3" t="s">
        <v>235</v>
      </c>
      <c r="C68" s="25">
        <v>105</v>
      </c>
      <c r="D68" s="25">
        <v>270</v>
      </c>
      <c r="E68" s="25">
        <v>542</v>
      </c>
      <c r="F68" s="82">
        <v>247</v>
      </c>
      <c r="G68" s="25">
        <v>913</v>
      </c>
      <c r="H68" s="40">
        <f>H73*'Income Statement Historical'!H5</f>
        <v>498.01517699714503</v>
      </c>
      <c r="I68" s="40">
        <f>I73*'Income Statement Historical'!I5</f>
        <v>536.42819381002948</v>
      </c>
      <c r="J68" s="40">
        <f>J73*'Income Statement Historical'!J5</f>
        <v>571.31557759466784</v>
      </c>
      <c r="K68" s="40">
        <f>K73*'Income Statement Historical'!K5</f>
        <v>603.33792880613589</v>
      </c>
      <c r="L68" s="40">
        <f>L73*'Income Statement Historical'!L5</f>
        <v>628.48606919759652</v>
      </c>
    </row>
    <row r="69" spans="2:12" x14ac:dyDescent="0.2">
      <c r="B69" s="3" t="s">
        <v>116</v>
      </c>
      <c r="C69" s="25">
        <v>628</v>
      </c>
      <c r="D69" s="25">
        <v>753</v>
      </c>
      <c r="E69" s="25">
        <v>685</v>
      </c>
      <c r="F69" s="25">
        <v>199</v>
      </c>
      <c r="G69" s="82">
        <v>1254</v>
      </c>
      <c r="H69" s="3">
        <f>'Income Statement Historical'!H28</f>
        <v>1389.2978199237023</v>
      </c>
      <c r="I69" s="3">
        <f>'Income Statement Historical'!I28</f>
        <v>1578.1974046348141</v>
      </c>
      <c r="J69" s="3">
        <f>'Income Statement Historical'!J28</f>
        <v>1762.3226456432778</v>
      </c>
      <c r="K69" s="3">
        <f>'Income Statement Historical'!K28</f>
        <v>1941.4947994377585</v>
      </c>
      <c r="L69" s="3">
        <f>'Income Statement Historical'!L28</f>
        <v>2100.6777757957643</v>
      </c>
    </row>
    <row r="70" spans="2:12" x14ac:dyDescent="0.2">
      <c r="B70" s="3" t="s">
        <v>117</v>
      </c>
      <c r="C70" s="41">
        <f>'Balance Sheet'!C43</f>
        <v>-46</v>
      </c>
      <c r="D70" s="41">
        <f>'Balance Sheet'!D43</f>
        <v>-12</v>
      </c>
      <c r="E70" s="41">
        <f>'Balance Sheet'!E43</f>
        <v>-73</v>
      </c>
      <c r="F70" s="41">
        <f>'Balance Sheet'!F43</f>
        <v>-48</v>
      </c>
      <c r="G70" s="41">
        <f>'Balance Sheet'!G43</f>
        <v>-110</v>
      </c>
      <c r="H70" s="3">
        <f>H66-H67-H68+H69</f>
        <v>422.71802584724264</v>
      </c>
      <c r="I70" s="3">
        <f t="shared" ref="I70:L70" si="32">I66-I67-I68+I69</f>
        <v>1057.1694247866478</v>
      </c>
      <c r="J70" s="3">
        <f t="shared" si="32"/>
        <v>1793.3376990624511</v>
      </c>
      <c r="K70" s="3">
        <f t="shared" si="32"/>
        <v>2630.4131389608765</v>
      </c>
      <c r="L70" s="3">
        <f t="shared" si="32"/>
        <v>3560.439795356489</v>
      </c>
    </row>
    <row r="72" spans="2:12" x14ac:dyDescent="0.2">
      <c r="B72" s="3" t="s">
        <v>118</v>
      </c>
      <c r="C72" s="1">
        <f>C67/C69</f>
        <v>0.31050955414012738</v>
      </c>
      <c r="D72" s="1">
        <f t="shared" ref="D72:G72" si="33">D67/D69</f>
        <v>0.26693227091633465</v>
      </c>
      <c r="E72" s="1">
        <f t="shared" si="33"/>
        <v>0.28905109489051095</v>
      </c>
      <c r="F72" s="1">
        <f t="shared" si="33"/>
        <v>1.0150753768844221</v>
      </c>
      <c r="G72" s="1">
        <f t="shared" si="33"/>
        <v>0.16586921850079744</v>
      </c>
      <c r="H72" s="1">
        <f>AVERAGE(G72,C72:E72)</f>
        <v>0.25809053461194259</v>
      </c>
      <c r="I72" s="1">
        <f>H72</f>
        <v>0.25809053461194259</v>
      </c>
      <c r="J72" s="1">
        <f t="shared" ref="J72:L72" si="34">I72</f>
        <v>0.25809053461194259</v>
      </c>
      <c r="K72" s="1">
        <f t="shared" si="34"/>
        <v>0.25809053461194259</v>
      </c>
      <c r="L72" s="1">
        <f t="shared" si="34"/>
        <v>0.25809053461194259</v>
      </c>
    </row>
    <row r="73" spans="2:12" x14ac:dyDescent="0.2">
      <c r="B73" s="3" t="s">
        <v>119</v>
      </c>
      <c r="C73" s="1">
        <f>C68/'Revenue Build'!C19</f>
        <v>8.6086742641633181E-3</v>
      </c>
      <c r="D73" s="1">
        <f>D68/'Revenue Build'!D19</f>
        <v>1.982815598149372E-2</v>
      </c>
      <c r="E73" s="1">
        <f>E68/'Revenue Build'!E19</f>
        <v>3.7910051059662865E-2</v>
      </c>
      <c r="F73" s="1">
        <f>F68/'Revenue Build'!F19</f>
        <v>1.6102744637851229E-2</v>
      </c>
      <c r="G73" s="1">
        <f>G68/'Revenue Build'!G19</f>
        <v>5.5079633204633202E-2</v>
      </c>
      <c r="H73" s="1">
        <f>AVERAGE(C73:G73)</f>
        <v>2.7505851829560869E-2</v>
      </c>
      <c r="I73" s="1">
        <f>H73</f>
        <v>2.7505851829560869E-2</v>
      </c>
      <c r="J73" s="1">
        <f t="shared" ref="J73:L73" si="35">I73</f>
        <v>2.7505851829560869E-2</v>
      </c>
      <c r="K73" s="1">
        <f t="shared" si="35"/>
        <v>2.7505851829560869E-2</v>
      </c>
      <c r="L73" s="1">
        <f t="shared" si="35"/>
        <v>2.7505851829560869E-2</v>
      </c>
    </row>
  </sheetData>
  <mergeCells count="2">
    <mergeCell ref="C1:G1"/>
    <mergeCell ref="H1:L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B9A3-1D55-6743-B74D-65B8516A5126}">
  <dimension ref="A1:Q55"/>
  <sheetViews>
    <sheetView showGridLines="0" zoomScale="75" zoomScaleNormal="100" workbookViewId="0">
      <selection activeCell="H42" sqref="H42"/>
    </sheetView>
  </sheetViews>
  <sheetFormatPr baseColWidth="10" defaultColWidth="10.83203125" defaultRowHeight="16" x14ac:dyDescent="0.2"/>
  <cols>
    <col min="1" max="1" width="2.1640625" style="49" bestFit="1" customWidth="1"/>
    <col min="2" max="2" width="49.5" style="49" customWidth="1"/>
    <col min="3" max="7" width="10.83203125" style="49"/>
    <col min="8" max="8" width="10.33203125" style="49" bestFit="1" customWidth="1"/>
    <col min="9" max="9" width="10.83203125" style="49"/>
    <col min="10" max="12" width="10.33203125" style="49" bestFit="1" customWidth="1"/>
    <col min="13" max="16384" width="10.83203125" style="49"/>
  </cols>
  <sheetData>
    <row r="1" spans="1:15" x14ac:dyDescent="0.2">
      <c r="B1" s="50" t="s">
        <v>53</v>
      </c>
      <c r="C1" s="216" t="s">
        <v>1</v>
      </c>
      <c r="D1" s="216"/>
      <c r="E1" s="216"/>
      <c r="F1" s="216"/>
      <c r="G1" s="217"/>
      <c r="H1" s="216" t="s">
        <v>2</v>
      </c>
      <c r="I1" s="216"/>
      <c r="J1" s="216"/>
      <c r="K1" s="216"/>
      <c r="L1" s="216"/>
    </row>
    <row r="2" spans="1:15" x14ac:dyDescent="0.2">
      <c r="A2" s="49" t="s">
        <v>4</v>
      </c>
      <c r="B2" s="51"/>
      <c r="C2" s="61">
        <v>2020</v>
      </c>
      <c r="D2" s="61">
        <f>C2+1</f>
        <v>2021</v>
      </c>
      <c r="E2" s="61">
        <f t="shared" ref="E2:L2" si="0">D2+1</f>
        <v>2022</v>
      </c>
      <c r="F2" s="61">
        <f t="shared" si="0"/>
        <v>2023</v>
      </c>
      <c r="G2" s="62">
        <f t="shared" si="0"/>
        <v>2024</v>
      </c>
      <c r="H2" s="52">
        <f t="shared" si="0"/>
        <v>2025</v>
      </c>
      <c r="I2" s="52">
        <f t="shared" si="0"/>
        <v>2026</v>
      </c>
      <c r="J2" s="52">
        <f t="shared" si="0"/>
        <v>2027</v>
      </c>
      <c r="K2" s="52">
        <f t="shared" si="0"/>
        <v>2028</v>
      </c>
      <c r="L2" s="52">
        <f t="shared" si="0"/>
        <v>2029</v>
      </c>
    </row>
    <row r="3" spans="1:15" x14ac:dyDescent="0.2">
      <c r="G3" s="63"/>
    </row>
    <row r="4" spans="1:15" x14ac:dyDescent="0.2">
      <c r="B4" s="53" t="s">
        <v>54</v>
      </c>
      <c r="C4" s="3"/>
      <c r="D4" s="3"/>
      <c r="E4" s="3"/>
      <c r="F4" s="3"/>
      <c r="G4" s="15"/>
    </row>
    <row r="5" spans="1:15" x14ac:dyDescent="0.2">
      <c r="B5" s="53" t="s">
        <v>55</v>
      </c>
      <c r="C5" s="3"/>
      <c r="D5" s="3"/>
      <c r="E5" s="3"/>
      <c r="F5" s="3"/>
      <c r="G5" s="15"/>
    </row>
    <row r="6" spans="1:15" x14ac:dyDescent="0.2">
      <c r="B6" s="154" t="s">
        <v>56</v>
      </c>
      <c r="C6" s="34">
        <v>524</v>
      </c>
      <c r="D6" s="34">
        <v>727</v>
      </c>
      <c r="E6" s="34">
        <v>516</v>
      </c>
      <c r="F6" s="34">
        <v>777</v>
      </c>
      <c r="G6" s="64">
        <v>943</v>
      </c>
      <c r="H6" s="54">
        <f>G6+'Cash Flow Statement'!C38</f>
        <v>1676.5949984573269</v>
      </c>
      <c r="I6" s="54">
        <f>H6+'Cash Flow Statement'!D38</f>
        <v>2467.059697018035</v>
      </c>
      <c r="J6" s="54">
        <f>I6+'Cash Flow Statement'!E38</f>
        <v>3325.8532682417276</v>
      </c>
      <c r="K6" s="54">
        <f>J6+'Cash Flow Statement'!F38</f>
        <v>4259.0901994970236</v>
      </c>
      <c r="L6" s="54">
        <f>K6+'Cash Flow Statement'!G38</f>
        <v>5232.0722332957166</v>
      </c>
    </row>
    <row r="7" spans="1:15" x14ac:dyDescent="0.2">
      <c r="B7" s="154" t="s">
        <v>58</v>
      </c>
      <c r="C7" s="34">
        <v>2137</v>
      </c>
      <c r="D7" s="34">
        <v>2189</v>
      </c>
      <c r="E7" s="34">
        <v>2350</v>
      </c>
      <c r="F7" s="34">
        <v>2429</v>
      </c>
      <c r="G7" s="64">
        <v>2645</v>
      </c>
      <c r="H7" s="54">
        <f>'Balance Sheet Build'!H5*'Income Statement Historical'!H5</f>
        <v>2942.0320978698978</v>
      </c>
      <c r="I7" s="54">
        <f>'Balance Sheet Build'!I5*'Income Statement Historical'!I5</f>
        <v>3168.9575685371701</v>
      </c>
      <c r="J7" s="54">
        <f>'Balance Sheet Build'!J5*'Income Statement Historical'!J5</f>
        <v>3375.0553094212801</v>
      </c>
      <c r="K7" s="54">
        <f>'Balance Sheet Build'!K5*'Income Statement Historical'!K5</f>
        <v>3564.2278275791796</v>
      </c>
      <c r="L7" s="54">
        <f>'Balance Sheet Build'!L5*'Income Statement Historical'!L5</f>
        <v>3712.7908426252852</v>
      </c>
      <c r="M7" s="49" t="s">
        <v>57</v>
      </c>
    </row>
    <row r="8" spans="1:15" x14ac:dyDescent="0.2">
      <c r="B8" s="154" t="s">
        <v>191</v>
      </c>
      <c r="C8" s="34">
        <v>276</v>
      </c>
      <c r="D8" s="34">
        <v>274</v>
      </c>
      <c r="E8" s="34">
        <v>287</v>
      </c>
      <c r="F8" s="34">
        <v>310</v>
      </c>
      <c r="G8" s="64">
        <v>315</v>
      </c>
      <c r="H8" s="54">
        <f>'Balance Sheet Build'!H7*'Income Statement Historical'!H5</f>
        <v>366.86798206030085</v>
      </c>
      <c r="I8" s="54">
        <f>'Balance Sheet Build'!I7*'Income Statement Historical'!I5</f>
        <v>395.16532441834732</v>
      </c>
      <c r="J8" s="54">
        <f>'Balance Sheet Build'!J7*'Income Statement Historical'!J5</f>
        <v>420.86547308772595</v>
      </c>
      <c r="K8" s="54">
        <f>'Balance Sheet Build'!K7*'Income Statement Historical'!K5</f>
        <v>444.45506616120139</v>
      </c>
      <c r="L8" s="54">
        <f>'Balance Sheet Build'!L7*'Income Statement Historical'!L5</f>
        <v>462.98070141114317</v>
      </c>
      <c r="M8" s="49" t="s">
        <v>57</v>
      </c>
    </row>
    <row r="9" spans="1:15" x14ac:dyDescent="0.2">
      <c r="B9" s="154" t="s">
        <v>59</v>
      </c>
      <c r="C9" s="34">
        <v>402</v>
      </c>
      <c r="D9" s="34">
        <v>429</v>
      </c>
      <c r="E9" s="34">
        <v>490</v>
      </c>
      <c r="F9" s="34">
        <v>489</v>
      </c>
      <c r="G9" s="64">
        <v>525</v>
      </c>
      <c r="H9" s="54">
        <f>'Balance Sheet Build'!H9*'Income Statement Historical'!H5</f>
        <v>583.51908098695037</v>
      </c>
      <c r="I9" s="54">
        <f>'Balance Sheet Build'!I9*'Income Statement Historical'!I5</f>
        <v>628.52720383923656</v>
      </c>
      <c r="J9" s="54">
        <f>'Balance Sheet Build'!J9*'Income Statement Historical'!J5</f>
        <v>669.40438000643587</v>
      </c>
      <c r="K9" s="54">
        <f>'Balance Sheet Build'!K9*'Income Statement Historical'!K5</f>
        <v>706.92462800896669</v>
      </c>
      <c r="L9" s="54">
        <f>'Balance Sheet Build'!L9*'Income Statement Historical'!L5</f>
        <v>736.39043637697159</v>
      </c>
      <c r="M9" s="49" t="s">
        <v>57</v>
      </c>
    </row>
    <row r="10" spans="1:15" x14ac:dyDescent="0.2">
      <c r="A10" s="49" t="s">
        <v>4</v>
      </c>
      <c r="B10" s="53" t="s">
        <v>60</v>
      </c>
      <c r="C10" s="55">
        <f>SUM(C6:C9)</f>
        <v>3339</v>
      </c>
      <c r="D10" s="55">
        <f>SUM(D6:D9)</f>
        <v>3619</v>
      </c>
      <c r="E10" s="55">
        <f>SUM(E6:E9)</f>
        <v>3643</v>
      </c>
      <c r="F10" s="55">
        <f>SUM(F6:F9)</f>
        <v>4005</v>
      </c>
      <c r="G10" s="65">
        <f>SUM(G6:G9)</f>
        <v>4428</v>
      </c>
      <c r="H10" s="55">
        <f t="shared" ref="H10" si="1">SUM(H6:H9)</f>
        <v>5569.0141593744756</v>
      </c>
      <c r="I10" s="55">
        <f t="shared" ref="I10" si="2">SUM(I6:I9)</f>
        <v>6659.709793812789</v>
      </c>
      <c r="J10" s="55">
        <f t="shared" ref="J10" si="3">SUM(J6:J9)</f>
        <v>7791.1784307571688</v>
      </c>
      <c r="K10" s="55">
        <f t="shared" ref="K10" si="4">SUM(K6:K9)</f>
        <v>8974.6977212463717</v>
      </c>
      <c r="L10" s="55">
        <f t="shared" ref="L10" si="5">SUM(L6:L9)</f>
        <v>10144.234213709118</v>
      </c>
    </row>
    <row r="11" spans="1:15" x14ac:dyDescent="0.2">
      <c r="C11" s="5"/>
      <c r="D11" s="3"/>
      <c r="E11" s="3"/>
      <c r="F11" s="3"/>
      <c r="G11" s="15"/>
    </row>
    <row r="12" spans="1:15" x14ac:dyDescent="0.2">
      <c r="B12" s="53" t="s">
        <v>61</v>
      </c>
      <c r="C12" s="5"/>
      <c r="D12" s="3"/>
      <c r="E12" s="3"/>
      <c r="F12" s="3"/>
      <c r="G12" s="15"/>
    </row>
    <row r="13" spans="1:15" x14ac:dyDescent="0.2">
      <c r="B13" s="154" t="s">
        <v>62</v>
      </c>
      <c r="C13" s="34">
        <v>604</v>
      </c>
      <c r="D13" s="34">
        <v>670</v>
      </c>
      <c r="E13" s="34">
        <v>847</v>
      </c>
      <c r="F13" s="34">
        <v>961</v>
      </c>
      <c r="G13" s="64">
        <v>991</v>
      </c>
      <c r="H13" s="54">
        <f>'Balance Sheet Build'!H21</f>
        <v>1101.9402960182929</v>
      </c>
      <c r="I13" s="54">
        <f>'Balance Sheet Build'!I21</f>
        <v>1186.2047931040938</v>
      </c>
      <c r="J13" s="54">
        <f>'Balance Sheet Build'!J21</f>
        <v>1263.7403990434073</v>
      </c>
      <c r="K13" s="54">
        <f>'Balance Sheet Build'!K21</f>
        <v>1334.3678646860217</v>
      </c>
      <c r="L13" s="54">
        <f>'Balance Sheet Build'!L21</f>
        <v>1390.0935616010465</v>
      </c>
      <c r="M13" s="56" t="s">
        <v>63</v>
      </c>
    </row>
    <row r="14" spans="1:15" x14ac:dyDescent="0.2">
      <c r="B14" s="154" t="s">
        <v>244</v>
      </c>
      <c r="C14" s="34">
        <v>1216</v>
      </c>
      <c r="D14" s="34">
        <v>1177</v>
      </c>
      <c r="E14" s="34">
        <v>952</v>
      </c>
      <c r="F14" s="34">
        <v>667</v>
      </c>
      <c r="G14" s="64">
        <v>517</v>
      </c>
      <c r="H14" s="54">
        <f>G14</f>
        <v>517</v>
      </c>
      <c r="I14" s="54">
        <f t="shared" ref="I14:L14" si="6">H14</f>
        <v>517</v>
      </c>
      <c r="J14" s="54">
        <f t="shared" si="6"/>
        <v>517</v>
      </c>
      <c r="K14" s="54">
        <f t="shared" si="6"/>
        <v>517</v>
      </c>
      <c r="L14" s="54">
        <f t="shared" si="6"/>
        <v>517</v>
      </c>
      <c r="M14" s="56" t="s">
        <v>63</v>
      </c>
      <c r="O14" s="154"/>
    </row>
    <row r="15" spans="1:15" x14ac:dyDescent="0.2">
      <c r="B15" s="154" t="s">
        <v>193</v>
      </c>
      <c r="C15" s="34">
        <v>6313</v>
      </c>
      <c r="D15" s="34">
        <v>6744</v>
      </c>
      <c r="E15" s="34">
        <v>6696</v>
      </c>
      <c r="F15" s="34">
        <v>6112</v>
      </c>
      <c r="G15" s="64">
        <v>6084</v>
      </c>
      <c r="H15" s="54">
        <f>G15</f>
        <v>6084</v>
      </c>
      <c r="I15" s="54">
        <f t="shared" ref="I15:L15" si="7">H15</f>
        <v>6084</v>
      </c>
      <c r="J15" s="54">
        <f t="shared" si="7"/>
        <v>6084</v>
      </c>
      <c r="K15" s="54">
        <f t="shared" si="7"/>
        <v>6084</v>
      </c>
      <c r="L15" s="54">
        <f t="shared" si="7"/>
        <v>6084</v>
      </c>
      <c r="M15" s="56"/>
      <c r="O15" s="154"/>
    </row>
    <row r="16" spans="1:15" x14ac:dyDescent="0.2">
      <c r="B16" s="154" t="s">
        <v>192</v>
      </c>
      <c r="C16" s="34">
        <v>581</v>
      </c>
      <c r="D16" s="34">
        <v>612</v>
      </c>
      <c r="E16" s="34">
        <v>545</v>
      </c>
      <c r="F16" s="34">
        <v>512</v>
      </c>
      <c r="G16" s="64">
        <v>560</v>
      </c>
      <c r="H16" s="54">
        <f>'Balance Sheet Build'!H11*'Income Statement Historical'!H5</f>
        <v>631.48207522934911</v>
      </c>
      <c r="I16" s="54">
        <f>'Balance Sheet Build'!I11*'Income Statement Historical'!I5</f>
        <v>680.18969036485964</v>
      </c>
      <c r="J16" s="54">
        <f>'Balance Sheet Build'!J11*'Income Statement Historical'!J5</f>
        <v>724.42681109777357</v>
      </c>
      <c r="K16" s="54">
        <f>'Balance Sheet Build'!K11*'Income Statement Historical'!K5</f>
        <v>765.03107725421808</v>
      </c>
      <c r="L16" s="54">
        <f>'Balance Sheet Build'!L11*'Income Statement Historical'!L5</f>
        <v>796.91886022965468</v>
      </c>
      <c r="M16" s="49" t="s">
        <v>57</v>
      </c>
      <c r="O16" s="56"/>
    </row>
    <row r="17" spans="1:17" x14ac:dyDescent="0.2">
      <c r="B17" s="154" t="s">
        <v>65</v>
      </c>
      <c r="C17" s="188">
        <v>458</v>
      </c>
      <c r="D17" s="188">
        <v>439</v>
      </c>
      <c r="E17" s="188">
        <v>388</v>
      </c>
      <c r="F17" s="188">
        <v>438</v>
      </c>
      <c r="G17" s="188">
        <v>524</v>
      </c>
      <c r="H17" s="189">
        <f>'Balance Sheet Build'!H13*'Income Statement Historical'!H5</f>
        <v>564.80878293073386</v>
      </c>
      <c r="I17" s="189">
        <f>'Balance Sheet Build'!I13*'Income Statement Historical'!I5</f>
        <v>608.37373893388678</v>
      </c>
      <c r="J17" s="189">
        <f>'Balance Sheet Build'!J13*'Income Statement Historical'!J5</f>
        <v>647.94020534933099</v>
      </c>
      <c r="K17" s="189">
        <f>'Balance Sheet Build'!K13*'Income Statement Historical'!K5</f>
        <v>684.25738211367172</v>
      </c>
      <c r="L17" s="189">
        <f>'Balance Sheet Build'!L13*'Income Statement Historical'!L5</f>
        <v>712.7783815199881</v>
      </c>
      <c r="O17" s="56"/>
    </row>
    <row r="18" spans="1:17" ht="17" thickBot="1" x14ac:dyDescent="0.25">
      <c r="A18" s="49" t="s">
        <v>4</v>
      </c>
      <c r="B18" s="53" t="s">
        <v>66</v>
      </c>
      <c r="C18" s="168">
        <f>SUM(C13:C17,C10)</f>
        <v>12511</v>
      </c>
      <c r="D18" s="168">
        <f>SUM(D13:D17,D10)</f>
        <v>13261</v>
      </c>
      <c r="E18" s="168">
        <f>SUM(E13:E17,E10)</f>
        <v>13071</v>
      </c>
      <c r="F18" s="168">
        <f>SUM(F13:F17,F10)</f>
        <v>12695</v>
      </c>
      <c r="G18" s="187">
        <f>SUM(G13:G17,G10)</f>
        <v>13104</v>
      </c>
      <c r="H18" s="168">
        <f t="shared" ref="H18" si="8">SUM(H13:H17,H10)</f>
        <v>14468.24531355285</v>
      </c>
      <c r="I18" s="168">
        <f t="shared" ref="I18" si="9">SUM(I13:I17,I10)</f>
        <v>15735.478016215631</v>
      </c>
      <c r="J18" s="168">
        <f t="shared" ref="J18" si="10">SUM(J13:J17,J10)</f>
        <v>17028.28584624768</v>
      </c>
      <c r="K18" s="168">
        <f t="shared" ref="K18" si="11">SUM(K13:K17,K10)</f>
        <v>18359.354045300286</v>
      </c>
      <c r="L18" s="168">
        <f t="shared" ref="L18" si="12">SUM(L13:L17,L10)</f>
        <v>19645.025017059808</v>
      </c>
      <c r="O18" s="56"/>
    </row>
    <row r="19" spans="1:17" ht="17" thickTop="1" x14ac:dyDescent="0.2">
      <c r="C19" s="3"/>
      <c r="D19" s="3"/>
      <c r="E19" s="3"/>
      <c r="F19" s="3"/>
      <c r="G19" s="15"/>
      <c r="L19" s="56"/>
      <c r="O19" s="56"/>
    </row>
    <row r="20" spans="1:17" x14ac:dyDescent="0.2">
      <c r="B20" s="53" t="s">
        <v>67</v>
      </c>
      <c r="C20" s="3"/>
      <c r="D20" s="3"/>
      <c r="E20" s="3"/>
      <c r="F20" s="3"/>
      <c r="G20" s="15"/>
      <c r="L20" s="56"/>
      <c r="O20" s="56"/>
    </row>
    <row r="21" spans="1:17" x14ac:dyDescent="0.2">
      <c r="B21" s="53"/>
      <c r="C21" s="3"/>
      <c r="D21" s="3"/>
      <c r="E21" s="3"/>
      <c r="F21" s="3"/>
      <c r="G21" s="15"/>
      <c r="L21" s="56"/>
      <c r="O21" s="56"/>
    </row>
    <row r="22" spans="1:17" x14ac:dyDescent="0.2">
      <c r="B22" s="53" t="s">
        <v>68</v>
      </c>
      <c r="C22" s="3"/>
      <c r="D22" s="3"/>
      <c r="G22" s="15"/>
      <c r="L22" s="56"/>
      <c r="O22" s="56"/>
    </row>
    <row r="23" spans="1:17" x14ac:dyDescent="0.2">
      <c r="B23" s="49" t="s">
        <v>237</v>
      </c>
      <c r="C23" s="34">
        <v>731</v>
      </c>
      <c r="D23" s="34">
        <v>692</v>
      </c>
      <c r="E23" s="34">
        <v>733</v>
      </c>
      <c r="F23" s="34">
        <v>736</v>
      </c>
      <c r="G23" s="64">
        <v>705</v>
      </c>
      <c r="H23" s="108">
        <f>'Balance Sheet Build'!H44*'Income Statement Historical'!H15</f>
        <v>814.4901493578094</v>
      </c>
      <c r="I23" s="108">
        <f>'Balance Sheet Build'!I44*'Income Statement Historical'!I15</f>
        <v>873.35395878171335</v>
      </c>
      <c r="J23" s="108">
        <f>'Balance Sheet Build'!J44*'Income Statement Historical'!J15</f>
        <v>925.93665230209876</v>
      </c>
      <c r="K23" s="108">
        <f>'Balance Sheet Build'!K44*'Income Statement Historical'!K15</f>
        <v>973.38206822451525</v>
      </c>
      <c r="L23" s="108">
        <f>'Balance Sheet Build'!L44*'Income Statement Historical'!L15</f>
        <v>1009.3151243995134</v>
      </c>
      <c r="M23" s="49" t="s">
        <v>57</v>
      </c>
      <c r="O23" s="56"/>
    </row>
    <row r="24" spans="1:17" x14ac:dyDescent="0.2">
      <c r="B24" s="49" t="s">
        <v>238</v>
      </c>
      <c r="C24" s="34">
        <v>939</v>
      </c>
      <c r="D24" s="34">
        <v>1053</v>
      </c>
      <c r="E24" s="34">
        <v>772</v>
      </c>
      <c r="F24" s="34">
        <v>826</v>
      </c>
      <c r="G24" s="64">
        <v>883</v>
      </c>
      <c r="H24" s="41">
        <f>'Balance Sheet Build'!H46*'Income Statement Historical'!H15</f>
        <v>926.83289819411573</v>
      </c>
      <c r="I24" s="41">
        <f>'Balance Sheet Build'!I46*'Income Statement Historical'!I15</f>
        <v>993.8158017075823</v>
      </c>
      <c r="J24" s="41">
        <f>'Balance Sheet Build'!J46*'Income Statement Historical'!J15</f>
        <v>1053.6512340559998</v>
      </c>
      <c r="K24" s="41">
        <f>'Balance Sheet Build'!K46*'Income Statement Historical'!K15</f>
        <v>1107.6408033344865</v>
      </c>
      <c r="L24" s="41">
        <f>'Balance Sheet Build'!L46*'Income Statement Historical'!L15</f>
        <v>1148.530111353625</v>
      </c>
      <c r="M24" s="49" t="s">
        <v>57</v>
      </c>
    </row>
    <row r="25" spans="1:17" x14ac:dyDescent="0.2">
      <c r="B25" s="49" t="s">
        <v>239</v>
      </c>
      <c r="C25" s="34">
        <v>481</v>
      </c>
      <c r="D25" s="34">
        <v>364</v>
      </c>
      <c r="E25" s="34">
        <v>380</v>
      </c>
      <c r="F25" s="34">
        <v>442</v>
      </c>
      <c r="G25" s="64">
        <v>333</v>
      </c>
      <c r="H25" s="41">
        <f>'Balance Sheet Build'!H50*'Income Statement Historical'!H5</f>
        <v>509.22708137889157</v>
      </c>
      <c r="I25" s="41">
        <f>'Balance Sheet Build'!I50*'Income Statement Historical'!I5</f>
        <v>548.50489728106754</v>
      </c>
      <c r="J25" s="41">
        <f>'Balance Sheet Build'!J50*'Income Statement Historical'!J5</f>
        <v>584.17770695067827</v>
      </c>
      <c r="K25" s="41">
        <f>'Balance Sheet Build'!K50*'Income Statement Historical'!K5</f>
        <v>616.92098305850493</v>
      </c>
      <c r="L25" s="41">
        <f>'Balance Sheet Build'!L50*'Income Statement Historical'!L5</f>
        <v>642.63528801376037</v>
      </c>
      <c r="M25" s="49" t="s">
        <v>57</v>
      </c>
    </row>
    <row r="26" spans="1:17" x14ac:dyDescent="0.2">
      <c r="B26" s="49" t="s">
        <v>248</v>
      </c>
      <c r="C26" s="34">
        <v>24</v>
      </c>
      <c r="D26" s="34">
        <v>32</v>
      </c>
      <c r="E26" s="34">
        <v>369</v>
      </c>
      <c r="F26" s="34">
        <v>273</v>
      </c>
      <c r="G26" s="64">
        <v>304</v>
      </c>
      <c r="H26" s="41">
        <f>AVERAGE(E26:G26)</f>
        <v>315.33333333333331</v>
      </c>
      <c r="I26" s="41">
        <f>H26</f>
        <v>315.33333333333331</v>
      </c>
      <c r="J26" s="41">
        <f t="shared" ref="J26:L26" si="13">I26</f>
        <v>315.33333333333331</v>
      </c>
      <c r="K26" s="41">
        <f t="shared" si="13"/>
        <v>315.33333333333331</v>
      </c>
      <c r="L26" s="41">
        <f t="shared" si="13"/>
        <v>315.33333333333331</v>
      </c>
      <c r="M26" s="49" t="s">
        <v>57</v>
      </c>
      <c r="O26" s="154"/>
    </row>
    <row r="27" spans="1:17" x14ac:dyDescent="0.2">
      <c r="B27" s="154" t="s">
        <v>194</v>
      </c>
      <c r="C27" s="34">
        <v>632</v>
      </c>
      <c r="D27" s="34">
        <v>605</v>
      </c>
      <c r="E27" s="34">
        <v>701</v>
      </c>
      <c r="F27" s="34">
        <v>695</v>
      </c>
      <c r="G27" s="64">
        <v>811</v>
      </c>
      <c r="H27" s="3">
        <f>'Balance Sheet Build'!H48*'Income Statement Historical'!H15</f>
        <v>828.8168584750573</v>
      </c>
      <c r="I27" s="3">
        <f>'Balance Sheet Build'!I48*'Income Statement Historical'!I15</f>
        <v>888.71606983207778</v>
      </c>
      <c r="J27" s="3">
        <f>'Balance Sheet Build'!J48*'Income Statement Historical'!J15</f>
        <v>942.22368178795557</v>
      </c>
      <c r="K27" s="3">
        <f>'Balance Sheet Build'!K48*'Income Statement Historical'!K15</f>
        <v>990.50365252162806</v>
      </c>
      <c r="L27" s="3">
        <f>'Balance Sheet Build'!L48*'Income Statement Historical'!L15</f>
        <v>1027.0687635396698</v>
      </c>
      <c r="M27" s="49" t="s">
        <v>57</v>
      </c>
      <c r="O27" s="190"/>
    </row>
    <row r="28" spans="1:17" x14ac:dyDescent="0.2">
      <c r="B28" s="154" t="s">
        <v>195</v>
      </c>
      <c r="C28" s="34">
        <v>100</v>
      </c>
      <c r="D28" s="34">
        <v>483</v>
      </c>
      <c r="E28" s="34">
        <v>992</v>
      </c>
      <c r="F28" s="34">
        <v>18</v>
      </c>
      <c r="G28" s="64">
        <v>618</v>
      </c>
      <c r="H28" s="41">
        <f>'Balance Sheet Build'!H52*'Balance Sheet'!H32</f>
        <v>690.35457478673493</v>
      </c>
      <c r="I28" s="41">
        <f>'Balance Sheet Build'!I52*'Balance Sheet'!I32</f>
        <v>743.60315658304137</v>
      </c>
      <c r="J28" s="41">
        <f>'Balance Sheet Build'!J52*'Balance Sheet'!J32</f>
        <v>791.96446384939361</v>
      </c>
      <c r="K28" s="41">
        <f>'Balance Sheet Build'!K52*'Balance Sheet'!K32</f>
        <v>836.35422881109719</v>
      </c>
      <c r="L28" s="41">
        <f>'Balance Sheet Build'!L52*'Balance Sheet'!L32</f>
        <v>871.21488079223843</v>
      </c>
      <c r="M28" s="49" t="s">
        <v>57</v>
      </c>
      <c r="O28" s="190"/>
    </row>
    <row r="29" spans="1:17" x14ac:dyDescent="0.2">
      <c r="A29" s="49" t="s">
        <v>4</v>
      </c>
      <c r="B29" s="53" t="s">
        <v>50</v>
      </c>
      <c r="C29" s="59">
        <f t="shared" ref="C29:H29" si="14">SUM(C23:C28)</f>
        <v>2907</v>
      </c>
      <c r="D29" s="59">
        <f t="shared" si="14"/>
        <v>3229</v>
      </c>
      <c r="E29" s="59">
        <f t="shared" si="14"/>
        <v>3947</v>
      </c>
      <c r="F29" s="59">
        <f t="shared" si="14"/>
        <v>2990</v>
      </c>
      <c r="G29" s="68">
        <f t="shared" si="14"/>
        <v>3654</v>
      </c>
      <c r="H29" s="59">
        <f t="shared" si="14"/>
        <v>4085.0548955259428</v>
      </c>
      <c r="I29" s="59">
        <f t="shared" ref="I29:L29" si="15">SUM(I23:I28)</f>
        <v>4363.3272175188158</v>
      </c>
      <c r="J29" s="59">
        <f t="shared" si="15"/>
        <v>4613.2870722794596</v>
      </c>
      <c r="K29" s="59">
        <f t="shared" si="15"/>
        <v>4840.1350692835658</v>
      </c>
      <c r="L29" s="59">
        <f t="shared" si="15"/>
        <v>5014.0975014321411</v>
      </c>
    </row>
    <row r="30" spans="1:17" x14ac:dyDescent="0.2">
      <c r="C30" s="3"/>
      <c r="D30" s="3"/>
      <c r="E30" s="3"/>
      <c r="F30" s="3"/>
      <c r="G30" s="15"/>
    </row>
    <row r="31" spans="1:17" x14ac:dyDescent="0.2">
      <c r="B31" s="53" t="s">
        <v>70</v>
      </c>
      <c r="C31" s="3"/>
      <c r="D31" s="3"/>
      <c r="E31" s="3"/>
      <c r="F31" s="3"/>
      <c r="G31" s="15"/>
      <c r="M31" s="56"/>
    </row>
    <row r="32" spans="1:17" x14ac:dyDescent="0.2">
      <c r="B32" s="154" t="s">
        <v>49</v>
      </c>
      <c r="C32" s="34">
        <v>4644</v>
      </c>
      <c r="D32" s="34">
        <v>4593</v>
      </c>
      <c r="E32" s="34">
        <v>3928</v>
      </c>
      <c r="F32" s="34">
        <v>4664</v>
      </c>
      <c r="G32" s="64">
        <v>4052</v>
      </c>
      <c r="H32" s="54">
        <f>'Balance Sheet Build'!H54*'Income Statement Historical'!H5</f>
        <v>5216.7570618997606</v>
      </c>
      <c r="I32" s="54">
        <f>'Balance Sheet Build'!I54*'Income Statement Historical'!I5</f>
        <v>5619.1371217521091</v>
      </c>
      <c r="J32" s="54">
        <f>'Balance Sheet Build'!J54*'Income Statement Historical'!J5</f>
        <v>5984.585835237327</v>
      </c>
      <c r="K32" s="54">
        <f>'Balance Sheet Build'!K54*'Income Statement Historical'!K5</f>
        <v>6320.0230559026277</v>
      </c>
      <c r="L32" s="54">
        <f>'Balance Sheet Build'!L54*'Income Statement Historical'!L5</f>
        <v>6583.4522545303453</v>
      </c>
      <c r="M32" s="49" t="s">
        <v>71</v>
      </c>
      <c r="Q32" s="3"/>
    </row>
    <row r="33" spans="1:13" x14ac:dyDescent="0.2">
      <c r="B33" s="154" t="s">
        <v>72</v>
      </c>
      <c r="C33" s="34">
        <v>564</v>
      </c>
      <c r="D33" s="34">
        <v>589</v>
      </c>
      <c r="E33" s="34">
        <v>570</v>
      </c>
      <c r="F33" s="34">
        <v>516</v>
      </c>
      <c r="G33" s="64">
        <v>621</v>
      </c>
      <c r="H33" s="54">
        <f>'Balance Sheet Build'!H56*'Balance Sheet'!H16</f>
        <v>643.57761361323981</v>
      </c>
      <c r="I33" s="54">
        <f>'Balance Sheet Build'!I56*'Balance Sheet'!I16</f>
        <v>693.21818449139016</v>
      </c>
      <c r="J33" s="54">
        <f>'Balance Sheet Build'!J56*'Balance Sheet'!J16</f>
        <v>738.30263219177732</v>
      </c>
      <c r="K33" s="54">
        <f>'Balance Sheet Build'!K56*'Balance Sheet'!K16</f>
        <v>779.6846408671471</v>
      </c>
      <c r="L33" s="54">
        <f>'Balance Sheet Build'!L56*'Balance Sheet'!L16</f>
        <v>812.18320903837321</v>
      </c>
      <c r="M33" s="49" t="s">
        <v>57</v>
      </c>
    </row>
    <row r="34" spans="1:13" x14ac:dyDescent="0.2">
      <c r="B34" s="154" t="s">
        <v>196</v>
      </c>
      <c r="C34" s="34">
        <v>234</v>
      </c>
      <c r="D34" s="34">
        <v>239</v>
      </c>
      <c r="E34" s="34">
        <v>40</v>
      </c>
      <c r="F34" s="34">
        <v>0</v>
      </c>
      <c r="G34" s="64">
        <v>0</v>
      </c>
      <c r="H34" s="54">
        <f>G34</f>
        <v>0</v>
      </c>
      <c r="I34" s="54">
        <f t="shared" ref="I34:L34" si="16">H34</f>
        <v>0</v>
      </c>
      <c r="J34" s="54">
        <f t="shared" si="16"/>
        <v>0</v>
      </c>
      <c r="K34" s="54">
        <f t="shared" si="16"/>
        <v>0</v>
      </c>
      <c r="L34" s="54">
        <f t="shared" si="16"/>
        <v>0</v>
      </c>
      <c r="M34" s="49" t="s">
        <v>57</v>
      </c>
    </row>
    <row r="35" spans="1:13" x14ac:dyDescent="0.2">
      <c r="B35" s="154" t="s">
        <v>73</v>
      </c>
      <c r="C35" s="57">
        <v>291</v>
      </c>
      <c r="D35" s="57">
        <v>267</v>
      </c>
      <c r="E35" s="57">
        <v>233</v>
      </c>
      <c r="F35" s="57">
        <v>267</v>
      </c>
      <c r="G35" s="66">
        <v>317</v>
      </c>
      <c r="H35" s="58">
        <f>G35</f>
        <v>317</v>
      </c>
      <c r="I35" s="58">
        <f t="shared" ref="I35:L35" si="17">H35</f>
        <v>317</v>
      </c>
      <c r="J35" s="58">
        <f t="shared" si="17"/>
        <v>317</v>
      </c>
      <c r="K35" s="58">
        <f t="shared" si="17"/>
        <v>317</v>
      </c>
      <c r="L35" s="58">
        <f t="shared" si="17"/>
        <v>317</v>
      </c>
    </row>
    <row r="36" spans="1:13" ht="17" thickBot="1" x14ac:dyDescent="0.25">
      <c r="A36" s="49" t="s">
        <v>4</v>
      </c>
      <c r="B36" s="53" t="s">
        <v>74</v>
      </c>
      <c r="C36" s="9">
        <f>SUM(C32:C35,C29)</f>
        <v>8640</v>
      </c>
      <c r="D36" s="9">
        <f>SUM(D32:D35,D29)</f>
        <v>8917</v>
      </c>
      <c r="E36" s="9">
        <f>SUM(E32:E35,E29)</f>
        <v>8718</v>
      </c>
      <c r="F36" s="9">
        <f>SUM(F32:F35,F29)</f>
        <v>8437</v>
      </c>
      <c r="G36" s="67">
        <f>SUM(G32:G35,G29)</f>
        <v>8644</v>
      </c>
      <c r="H36" s="9">
        <f t="shared" ref="H36" si="18">SUM(H32:H35,H29)</f>
        <v>10262.389571038944</v>
      </c>
      <c r="I36" s="9">
        <f t="shared" ref="I36" si="19">SUM(I32:I35,I29)</f>
        <v>10992.682523762316</v>
      </c>
      <c r="J36" s="9">
        <f t="shared" ref="J36" si="20">SUM(J32:J35,J29)</f>
        <v>11653.175539708564</v>
      </c>
      <c r="K36" s="9">
        <f t="shared" ref="K36" si="21">SUM(K32:K35,K29)</f>
        <v>12256.842766053342</v>
      </c>
      <c r="L36" s="9">
        <f t="shared" ref="L36" si="22">SUM(L32:L35,L29)</f>
        <v>12726.73296500086</v>
      </c>
    </row>
    <row r="37" spans="1:13" ht="17" thickTop="1" x14ac:dyDescent="0.2">
      <c r="C37" s="3"/>
      <c r="D37" s="3"/>
      <c r="E37" s="3"/>
      <c r="F37" s="3"/>
      <c r="G37" s="15"/>
      <c r="L37" s="56"/>
    </row>
    <row r="38" spans="1:13" x14ac:dyDescent="0.2">
      <c r="B38" s="53" t="s">
        <v>75</v>
      </c>
      <c r="C38" s="3"/>
      <c r="D38" s="3"/>
      <c r="E38" s="3"/>
      <c r="F38" s="3"/>
      <c r="G38" s="15"/>
      <c r="L38" s="56"/>
    </row>
    <row r="39" spans="1:13" x14ac:dyDescent="0.2">
      <c r="B39" s="49" t="s">
        <v>189</v>
      </c>
      <c r="C39" s="34">
        <v>0</v>
      </c>
      <c r="D39" s="34">
        <v>0</v>
      </c>
      <c r="E39" s="34">
        <v>0</v>
      </c>
      <c r="F39" s="34">
        <v>0</v>
      </c>
      <c r="G39" s="64">
        <v>0</v>
      </c>
      <c r="H39" s="3">
        <f>G39</f>
        <v>0</v>
      </c>
      <c r="I39" s="3">
        <f t="shared" ref="I39:L39" si="23">H39</f>
        <v>0</v>
      </c>
      <c r="J39" s="3">
        <f t="shared" si="23"/>
        <v>0</v>
      </c>
      <c r="K39" s="3">
        <f t="shared" si="23"/>
        <v>0</v>
      </c>
      <c r="L39" s="3">
        <f t="shared" si="23"/>
        <v>0</v>
      </c>
    </row>
    <row r="40" spans="1:13" x14ac:dyDescent="0.2">
      <c r="B40" s="49" t="s">
        <v>190</v>
      </c>
      <c r="C40" s="34">
        <v>0</v>
      </c>
      <c r="D40" s="34">
        <v>0</v>
      </c>
      <c r="E40" s="34">
        <v>0</v>
      </c>
      <c r="F40" s="34">
        <v>0</v>
      </c>
      <c r="G40" s="64">
        <v>0</v>
      </c>
      <c r="H40" s="3">
        <f>G40</f>
        <v>0</v>
      </c>
      <c r="I40" s="3">
        <f t="shared" ref="I40:L40" si="24">H40</f>
        <v>0</v>
      </c>
      <c r="J40" s="3">
        <f t="shared" si="24"/>
        <v>0</v>
      </c>
      <c r="K40" s="3">
        <f t="shared" si="24"/>
        <v>0</v>
      </c>
      <c r="L40" s="3">
        <f t="shared" si="24"/>
        <v>0</v>
      </c>
    </row>
    <row r="41" spans="1:13" x14ac:dyDescent="0.2">
      <c r="B41" s="49" t="s">
        <v>76</v>
      </c>
      <c r="C41" s="34">
        <v>2580</v>
      </c>
      <c r="D41" s="34">
        <v>2423</v>
      </c>
      <c r="E41" s="34">
        <v>2005</v>
      </c>
      <c r="F41" s="34">
        <v>1885</v>
      </c>
      <c r="G41" s="64">
        <v>1112</v>
      </c>
      <c r="H41" s="41">
        <f>'Balance Sheet Build'!H62</f>
        <v>1021.47105</v>
      </c>
      <c r="I41" s="41">
        <f>'Balance Sheet Build'!I62</f>
        <v>923.95940099999996</v>
      </c>
      <c r="J41" s="41">
        <f>'Balance Sheet Build'!J62</f>
        <v>820.10594080999999</v>
      </c>
      <c r="K41" s="41">
        <f>'Balance Sheet Build'!K62</f>
        <v>710.43147361939998</v>
      </c>
      <c r="L41" s="41">
        <f>'Balance Sheet Build'!L62</f>
        <v>596.18559003579196</v>
      </c>
      <c r="M41" s="49" t="s">
        <v>57</v>
      </c>
    </row>
    <row r="42" spans="1:13" x14ac:dyDescent="0.2">
      <c r="B42" s="49" t="s">
        <v>77</v>
      </c>
      <c r="C42" s="34">
        <v>1328</v>
      </c>
      <c r="D42" s="34">
        <v>1880</v>
      </c>
      <c r="E42" s="34">
        <v>2367</v>
      </c>
      <c r="F42" s="34">
        <v>2364</v>
      </c>
      <c r="G42" s="64">
        <v>3410</v>
      </c>
      <c r="H42" s="3">
        <f>AVERAGE(E42:G42)</f>
        <v>2713.6666666666665</v>
      </c>
      <c r="I42" s="3">
        <f>H42</f>
        <v>2713.6666666666665</v>
      </c>
      <c r="J42" s="3">
        <f t="shared" ref="J42:L42" si="25">I42</f>
        <v>2713.6666666666665</v>
      </c>
      <c r="K42" s="3">
        <f t="shared" si="25"/>
        <v>2713.6666666666665</v>
      </c>
      <c r="L42" s="3">
        <f t="shared" si="25"/>
        <v>2713.6666666666665</v>
      </c>
    </row>
    <row r="43" spans="1:13" x14ac:dyDescent="0.2">
      <c r="B43" s="49" t="s">
        <v>78</v>
      </c>
      <c r="C43" s="34">
        <v>-46</v>
      </c>
      <c r="D43" s="34">
        <v>-12</v>
      </c>
      <c r="E43" s="34">
        <v>-73</v>
      </c>
      <c r="F43" s="34">
        <v>-48</v>
      </c>
      <c r="G43" s="64">
        <v>-110</v>
      </c>
      <c r="H43" s="54">
        <f>'Balance Sheet Build'!H70</f>
        <v>422.71802584724264</v>
      </c>
      <c r="I43" s="54">
        <f>'Balance Sheet Build'!I70</f>
        <v>1057.1694247866478</v>
      </c>
      <c r="J43" s="54">
        <f>'Balance Sheet Build'!J70</f>
        <v>1793.3376990624511</v>
      </c>
      <c r="K43" s="54">
        <f>'Balance Sheet Build'!K70</f>
        <v>2630.4131389608765</v>
      </c>
      <c r="L43" s="54">
        <f>'Balance Sheet Build'!L70</f>
        <v>3560.439795356489</v>
      </c>
      <c r="M43" s="49" t="s">
        <v>71</v>
      </c>
    </row>
    <row r="44" spans="1:13" x14ac:dyDescent="0.2">
      <c r="B44" s="53" t="s">
        <v>79</v>
      </c>
      <c r="C44" s="58">
        <f>SUM(C39:C43)</f>
        <v>3862</v>
      </c>
      <c r="D44" s="58">
        <f t="shared" ref="D44:L44" si="26">SUM(D39:D43)</f>
        <v>4291</v>
      </c>
      <c r="E44" s="58">
        <f t="shared" si="26"/>
        <v>4299</v>
      </c>
      <c r="F44" s="58">
        <f t="shared" si="26"/>
        <v>4201</v>
      </c>
      <c r="G44" s="69">
        <f t="shared" si="26"/>
        <v>4412</v>
      </c>
      <c r="H44" s="71">
        <f t="shared" si="26"/>
        <v>4157.8557425139097</v>
      </c>
      <c r="I44" s="58">
        <f t="shared" si="26"/>
        <v>4694.7954924533142</v>
      </c>
      <c r="J44" s="58">
        <f t="shared" si="26"/>
        <v>5327.110306539118</v>
      </c>
      <c r="K44" s="58">
        <f t="shared" si="26"/>
        <v>6054.5112792469426</v>
      </c>
      <c r="L44" s="58">
        <f t="shared" si="26"/>
        <v>6870.2920520589469</v>
      </c>
    </row>
    <row r="45" spans="1:13" x14ac:dyDescent="0.2">
      <c r="B45" s="49" t="s">
        <v>80</v>
      </c>
      <c r="C45" s="34">
        <v>9</v>
      </c>
      <c r="D45" s="34">
        <v>53</v>
      </c>
      <c r="E45" s="34">
        <v>54</v>
      </c>
      <c r="F45" s="34">
        <v>57</v>
      </c>
      <c r="G45" s="64">
        <v>48</v>
      </c>
      <c r="H45" s="3">
        <f>G45</f>
        <v>48</v>
      </c>
      <c r="I45" s="3">
        <f t="shared" ref="I45:L45" si="27">H45</f>
        <v>48</v>
      </c>
      <c r="J45" s="3">
        <f t="shared" si="27"/>
        <v>48</v>
      </c>
      <c r="K45" s="3">
        <f t="shared" si="27"/>
        <v>48</v>
      </c>
      <c r="L45" s="3">
        <f t="shared" si="27"/>
        <v>48</v>
      </c>
    </row>
    <row r="46" spans="1:13" x14ac:dyDescent="0.2">
      <c r="A46" s="49" t="s">
        <v>4</v>
      </c>
      <c r="B46" s="53" t="s">
        <v>81</v>
      </c>
      <c r="C46" s="59">
        <f>SUM(C44:C45)</f>
        <v>3871</v>
      </c>
      <c r="D46" s="59">
        <f t="shared" ref="D46:L46" si="28">SUM(D44:D45)</f>
        <v>4344</v>
      </c>
      <c r="E46" s="59">
        <f t="shared" si="28"/>
        <v>4353</v>
      </c>
      <c r="F46" s="59">
        <f t="shared" si="28"/>
        <v>4258</v>
      </c>
      <c r="G46" s="68">
        <f t="shared" si="28"/>
        <v>4460</v>
      </c>
      <c r="H46" s="155">
        <f t="shared" si="28"/>
        <v>4205.8557425139097</v>
      </c>
      <c r="I46" s="59">
        <f t="shared" si="28"/>
        <v>4742.7954924533142</v>
      </c>
      <c r="J46" s="59">
        <f t="shared" si="28"/>
        <v>5375.110306539118</v>
      </c>
      <c r="K46" s="59">
        <f t="shared" si="28"/>
        <v>6102.5112792469426</v>
      </c>
      <c r="L46" s="59">
        <f t="shared" si="28"/>
        <v>6918.2920520589469</v>
      </c>
    </row>
    <row r="47" spans="1:13" x14ac:dyDescent="0.2">
      <c r="B47" s="53"/>
      <c r="C47" s="3"/>
      <c r="D47" s="3"/>
      <c r="E47" s="3"/>
      <c r="F47" s="3"/>
      <c r="G47" s="15"/>
    </row>
    <row r="48" spans="1:13" ht="17" thickBot="1" x14ac:dyDescent="0.25">
      <c r="A48" s="49" t="s">
        <v>4</v>
      </c>
      <c r="B48" s="53" t="s">
        <v>82</v>
      </c>
      <c r="C48" s="9">
        <f t="shared" ref="C48:H48" si="29">C46+C36</f>
        <v>12511</v>
      </c>
      <c r="D48" s="9">
        <f t="shared" si="29"/>
        <v>13261</v>
      </c>
      <c r="E48" s="9">
        <f t="shared" si="29"/>
        <v>13071</v>
      </c>
      <c r="F48" s="9">
        <f t="shared" si="29"/>
        <v>12695</v>
      </c>
      <c r="G48" s="67">
        <f t="shared" si="29"/>
        <v>13104</v>
      </c>
      <c r="H48" s="156">
        <f t="shared" si="29"/>
        <v>14468.245313552854</v>
      </c>
      <c r="I48" s="9">
        <f t="shared" ref="I48:L48" si="30">I46+I36</f>
        <v>15735.478016215631</v>
      </c>
      <c r="J48" s="9">
        <f t="shared" si="30"/>
        <v>17028.28584624768</v>
      </c>
      <c r="K48" s="9">
        <f t="shared" si="30"/>
        <v>18359.354045300286</v>
      </c>
      <c r="L48" s="9">
        <f t="shared" si="30"/>
        <v>19645.025017059808</v>
      </c>
    </row>
    <row r="49" spans="3:13" ht="17" thickTop="1" x14ac:dyDescent="0.2">
      <c r="G49" s="63"/>
      <c r="L49" s="56"/>
    </row>
    <row r="50" spans="3:13" x14ac:dyDescent="0.2">
      <c r="G50" s="63"/>
      <c r="L50" s="56"/>
    </row>
    <row r="51" spans="3:13" x14ac:dyDescent="0.2">
      <c r="G51" s="63"/>
      <c r="L51" s="56"/>
    </row>
    <row r="52" spans="3:13" x14ac:dyDescent="0.2">
      <c r="C52" s="3">
        <f t="shared" ref="C52:L52" si="31">C48-C18</f>
        <v>0</v>
      </c>
      <c r="D52" s="3">
        <f t="shared" si="31"/>
        <v>0</v>
      </c>
      <c r="E52" s="3">
        <f t="shared" si="31"/>
        <v>0</v>
      </c>
      <c r="F52" s="3">
        <f t="shared" si="31"/>
        <v>0</v>
      </c>
      <c r="G52" s="15">
        <f t="shared" si="31"/>
        <v>0</v>
      </c>
      <c r="H52" s="107">
        <f t="shared" si="31"/>
        <v>0</v>
      </c>
      <c r="I52" s="107">
        <f t="shared" si="31"/>
        <v>0</v>
      </c>
      <c r="J52" s="107">
        <f t="shared" si="31"/>
        <v>0</v>
      </c>
      <c r="K52" s="107">
        <f t="shared" si="31"/>
        <v>0</v>
      </c>
      <c r="L52" s="107">
        <f t="shared" si="31"/>
        <v>0</v>
      </c>
    </row>
    <row r="53" spans="3:13" x14ac:dyDescent="0.2">
      <c r="H53" s="108"/>
      <c r="I53" s="171"/>
      <c r="J53" s="191"/>
      <c r="K53" s="191"/>
      <c r="L53" s="191"/>
    </row>
    <row r="54" spans="3:13" x14ac:dyDescent="0.2">
      <c r="H54" s="3"/>
      <c r="I54" s="3"/>
      <c r="J54" s="3"/>
      <c r="K54" s="3"/>
      <c r="L54" s="3"/>
    </row>
    <row r="55" spans="3:13" x14ac:dyDescent="0.2">
      <c r="M55" s="56"/>
    </row>
  </sheetData>
  <mergeCells count="2">
    <mergeCell ref="C1:G1"/>
    <mergeCell ref="H1:L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8C09-67E5-D941-B53C-8EA76C94563D}">
  <dimension ref="A1:Q41"/>
  <sheetViews>
    <sheetView showGridLines="0" tabSelected="1" zoomScale="144" zoomScaleNormal="100" workbookViewId="0">
      <selection activeCell="C40" sqref="C40"/>
    </sheetView>
  </sheetViews>
  <sheetFormatPr baseColWidth="10" defaultColWidth="11" defaultRowHeight="16" x14ac:dyDescent="0.2"/>
  <cols>
    <col min="1" max="1" width="2.6640625" customWidth="1"/>
    <col min="2" max="2" width="37.1640625" customWidth="1"/>
    <col min="3" max="7" width="11.1640625" bestFit="1" customWidth="1"/>
    <col min="10" max="10" width="36.33203125" bestFit="1" customWidth="1"/>
    <col min="11" max="11" width="9.5" bestFit="1" customWidth="1"/>
    <col min="12" max="12" width="11.5" bestFit="1" customWidth="1"/>
  </cols>
  <sheetData>
    <row r="1" spans="1:17" x14ac:dyDescent="0.2">
      <c r="B1" s="14" t="s">
        <v>120</v>
      </c>
      <c r="C1" s="218" t="s">
        <v>2</v>
      </c>
      <c r="D1" s="218"/>
      <c r="E1" s="218"/>
      <c r="F1" s="218"/>
      <c r="G1" s="218"/>
    </row>
    <row r="2" spans="1:17" x14ac:dyDescent="0.2">
      <c r="B2" s="14"/>
      <c r="C2" s="22">
        <v>2025</v>
      </c>
      <c r="D2" s="22">
        <f>C2+1</f>
        <v>2026</v>
      </c>
      <c r="E2" s="22">
        <f t="shared" ref="E2:G2" si="0">D2+1</f>
        <v>2027</v>
      </c>
      <c r="F2" s="22">
        <f t="shared" si="0"/>
        <v>2028</v>
      </c>
      <c r="G2" s="22">
        <f t="shared" si="0"/>
        <v>2029</v>
      </c>
    </row>
    <row r="3" spans="1:17" x14ac:dyDescent="0.2">
      <c r="Q3" s="105"/>
    </row>
    <row r="4" spans="1:17" x14ac:dyDescent="0.2">
      <c r="A4" t="s">
        <v>4</v>
      </c>
      <c r="B4" s="12" t="s">
        <v>121</v>
      </c>
      <c r="Q4" t="s">
        <v>271</v>
      </c>
    </row>
    <row r="5" spans="1:17" x14ac:dyDescent="0.2">
      <c r="B5" s="157" t="s">
        <v>122</v>
      </c>
      <c r="C5" s="20">
        <f>'Income Statement Historical'!H28</f>
        <v>1389.2978199237023</v>
      </c>
      <c r="D5" s="20">
        <f>'Income Statement Historical'!I28</f>
        <v>1578.1974046348141</v>
      </c>
      <c r="E5" s="20">
        <f>'Income Statement Historical'!J28</f>
        <v>1762.3226456432778</v>
      </c>
      <c r="F5" s="20">
        <f>'Income Statement Historical'!K28</f>
        <v>1941.4947994377585</v>
      </c>
      <c r="G5" s="20">
        <f>'Income Statement Historical'!L28</f>
        <v>2100.6777757957643</v>
      </c>
      <c r="Q5" t="s">
        <v>272</v>
      </c>
    </row>
    <row r="6" spans="1:17" x14ac:dyDescent="0.2">
      <c r="B6" s="158" t="s">
        <v>123</v>
      </c>
      <c r="C6" s="28">
        <f>'Balance Sheet Build'!H20</f>
        <v>38.644515185937394</v>
      </c>
      <c r="D6" s="28">
        <f>'Balance Sheet Build'!I20</f>
        <v>57.171780811303165</v>
      </c>
      <c r="E6" s="28">
        <f>'Balance Sheet Build'!J20</f>
        <v>52.606362360655112</v>
      </c>
      <c r="F6" s="28">
        <f>'Balance Sheet Build'!K20</f>
        <v>47.919326936300081</v>
      </c>
      <c r="G6" s="28">
        <f>'Balance Sheet Build'!L20</f>
        <v>37.808774036103273</v>
      </c>
    </row>
    <row r="7" spans="1:17" x14ac:dyDescent="0.2">
      <c r="B7" s="158" t="s">
        <v>124</v>
      </c>
      <c r="C7" s="30">
        <f>'Balance Sheet Build'!H61</f>
        <v>-90.528950000000023</v>
      </c>
      <c r="D7" s="30">
        <f>'Balance Sheet Build'!I61</f>
        <v>-97.511649000000006</v>
      </c>
      <c r="E7" s="30">
        <f>'Balance Sheet Build'!J61</f>
        <v>-103.85346019000002</v>
      </c>
      <c r="F7" s="30">
        <f>'Balance Sheet Build'!K61</f>
        <v>-109.67446719060003</v>
      </c>
      <c r="G7" s="30">
        <f>'Balance Sheet Build'!L61</f>
        <v>-114.24588358360802</v>
      </c>
    </row>
    <row r="8" spans="1:17" x14ac:dyDescent="0.2">
      <c r="B8" s="27"/>
      <c r="C8" s="30"/>
      <c r="D8" s="30"/>
      <c r="E8" s="30"/>
      <c r="F8" s="30"/>
      <c r="G8" s="30"/>
    </row>
    <row r="9" spans="1:17" x14ac:dyDescent="0.2">
      <c r="C9" s="29"/>
      <c r="D9" s="29"/>
      <c r="E9" s="29"/>
      <c r="F9" s="29"/>
      <c r="G9" s="29"/>
    </row>
    <row r="10" spans="1:17" x14ac:dyDescent="0.2">
      <c r="A10" t="s">
        <v>4</v>
      </c>
      <c r="B10" s="13" t="s">
        <v>125</v>
      </c>
      <c r="C10" s="29"/>
      <c r="D10" s="29"/>
      <c r="E10" s="29"/>
      <c r="F10" s="29"/>
      <c r="G10" s="29"/>
    </row>
    <row r="11" spans="1:17" x14ac:dyDescent="0.2">
      <c r="B11" s="13"/>
      <c r="C11" s="30"/>
      <c r="D11" s="30"/>
      <c r="E11" s="30"/>
      <c r="F11" s="30"/>
      <c r="G11" s="30"/>
    </row>
    <row r="12" spans="1:17" x14ac:dyDescent="0.2">
      <c r="B12" s="157" t="s">
        <v>58</v>
      </c>
      <c r="C12" s="30">
        <f>'Balance Sheet'!G7-'Balance Sheet'!H7</f>
        <v>-297.03209786989783</v>
      </c>
      <c r="D12" s="30">
        <f>'Balance Sheet'!H7-'Balance Sheet'!I7</f>
        <v>-226.92547066727229</v>
      </c>
      <c r="E12" s="30">
        <f>'Balance Sheet'!I7-'Balance Sheet'!J7</f>
        <v>-206.09774088410995</v>
      </c>
      <c r="F12" s="30">
        <f>'Balance Sheet'!J7-'Balance Sheet'!K7</f>
        <v>-189.1725181578995</v>
      </c>
      <c r="G12" s="30">
        <f>'Balance Sheet'!K7-'Balance Sheet'!L7</f>
        <v>-148.56301504610565</v>
      </c>
    </row>
    <row r="13" spans="1:17" x14ac:dyDescent="0.2">
      <c r="B13" s="157" t="s">
        <v>243</v>
      </c>
      <c r="C13" s="30">
        <f>'Balance Sheet'!G8-'Balance Sheet'!H8</f>
        <v>-51.867982060300847</v>
      </c>
      <c r="D13" s="30">
        <f>'Balance Sheet'!H8-'Balance Sheet'!I8</f>
        <v>-28.297342358046478</v>
      </c>
      <c r="E13" s="30">
        <f>'Balance Sheet'!I8-'Balance Sheet'!J8</f>
        <v>-25.700148669378621</v>
      </c>
      <c r="F13" s="30">
        <f>'Balance Sheet'!J8-'Balance Sheet'!K8</f>
        <v>-23.589593073475442</v>
      </c>
      <c r="G13" s="30">
        <f>'Balance Sheet'!K8-'Balance Sheet'!L8</f>
        <v>-18.525635249941786</v>
      </c>
    </row>
    <row r="14" spans="1:17" x14ac:dyDescent="0.2">
      <c r="B14" s="157" t="s">
        <v>59</v>
      </c>
      <c r="C14" s="30">
        <f>'Balance Sheet'!G9-'Balance Sheet'!H9</f>
        <v>-58.519080986950371</v>
      </c>
      <c r="D14" s="30">
        <f>'Balance Sheet'!H9-'Balance Sheet'!I9</f>
        <v>-45.008122852286192</v>
      </c>
      <c r="E14" s="30">
        <f>'Balance Sheet'!I9-'Balance Sheet'!J9</f>
        <v>-40.877176167199309</v>
      </c>
      <c r="F14" s="30">
        <f>'Balance Sheet'!J9-'Balance Sheet'!K9</f>
        <v>-37.52024800253082</v>
      </c>
      <c r="G14" s="30">
        <f>'Balance Sheet'!K9-'Balance Sheet'!L9</f>
        <v>-29.4658083680049</v>
      </c>
    </row>
    <row r="15" spans="1:17" x14ac:dyDescent="0.2">
      <c r="B15" s="157" t="s">
        <v>64</v>
      </c>
      <c r="C15" s="30">
        <f>'Balance Sheet'!G16-'Balance Sheet'!H16</f>
        <v>-71.482075229349107</v>
      </c>
      <c r="D15" s="30">
        <f>'Balance Sheet'!H16-'Balance Sheet'!I16</f>
        <v>-48.707615135510537</v>
      </c>
      <c r="E15" s="30">
        <f>'Balance Sheet'!I16-'Balance Sheet'!J16</f>
        <v>-44.237120732913922</v>
      </c>
      <c r="F15" s="30">
        <f>'Balance Sheet'!J16-'Balance Sheet'!K16</f>
        <v>-40.60426615644451</v>
      </c>
      <c r="G15" s="30">
        <f>'Balance Sheet'!K16-'Balance Sheet'!L16</f>
        <v>-31.887782975436608</v>
      </c>
      <c r="I15" t="s">
        <v>8</v>
      </c>
    </row>
    <row r="16" spans="1:17" x14ac:dyDescent="0.2">
      <c r="B16" s="157" t="s">
        <v>69</v>
      </c>
      <c r="C16" s="20">
        <f>'Balance Sheet'!H23-'Balance Sheet'!G23</f>
        <v>109.4901493578094</v>
      </c>
      <c r="D16" s="20">
        <f>'Balance Sheet'!I23-'Balance Sheet'!H23</f>
        <v>58.863809423903945</v>
      </c>
      <c r="E16" s="20">
        <f>'Balance Sheet'!J23-'Balance Sheet'!I23</f>
        <v>52.582693520385419</v>
      </c>
      <c r="F16" s="20">
        <f>'Balance Sheet'!K23-'Balance Sheet'!J23</f>
        <v>47.445415922416487</v>
      </c>
      <c r="G16" s="20">
        <f>'Balance Sheet'!L23-'Balance Sheet'!K23</f>
        <v>35.933056174998114</v>
      </c>
    </row>
    <row r="17" spans="1:16" s="49" customFormat="1" x14ac:dyDescent="0.2">
      <c r="B17" s="159" t="s">
        <v>238</v>
      </c>
      <c r="C17" s="20">
        <f>'Balance Sheet'!H24-'Balance Sheet'!G24</f>
        <v>43.832898194115728</v>
      </c>
      <c r="D17" s="20">
        <f>'Balance Sheet'!I24-'Balance Sheet'!H24</f>
        <v>66.982903513466567</v>
      </c>
      <c r="E17" s="20">
        <f>'Balance Sheet'!J24-'Balance Sheet'!I24</f>
        <v>59.835432348417498</v>
      </c>
      <c r="F17" s="20">
        <f>'Balance Sheet'!K24-'Balance Sheet'!J24</f>
        <v>53.98956927848667</v>
      </c>
      <c r="G17" s="20">
        <f>'Balance Sheet'!L24-'Balance Sheet'!K24</f>
        <v>40.889308019138525</v>
      </c>
      <c r="J17"/>
      <c r="K17"/>
      <c r="L17"/>
      <c r="M17"/>
      <c r="N17"/>
      <c r="O17"/>
      <c r="P17"/>
    </row>
    <row r="18" spans="1:16" s="49" customFormat="1" x14ac:dyDescent="0.2">
      <c r="B18" s="159" t="s">
        <v>239</v>
      </c>
      <c r="C18" s="170">
        <f>'Balance Sheet'!H25-'Balance Sheet'!G25</f>
        <v>176.22708137889157</v>
      </c>
      <c r="D18" s="170">
        <f>'Balance Sheet'!I25-'Balance Sheet'!H25</f>
        <v>39.277815902175973</v>
      </c>
      <c r="E18" s="170">
        <f>'Balance Sheet'!J25-'Balance Sheet'!I25</f>
        <v>35.672809669610729</v>
      </c>
      <c r="F18" s="170">
        <f>'Balance Sheet'!K25-'Balance Sheet'!J25</f>
        <v>32.743276107826659</v>
      </c>
      <c r="G18" s="170">
        <f>'Balance Sheet'!L25-'Balance Sheet'!K25</f>
        <v>25.714304955255443</v>
      </c>
      <c r="J18"/>
      <c r="K18"/>
      <c r="L18"/>
      <c r="M18"/>
      <c r="N18"/>
      <c r="O18"/>
      <c r="P18"/>
    </row>
    <row r="19" spans="1:16" s="49" customFormat="1" x14ac:dyDescent="0.2">
      <c r="B19" s="211" t="s">
        <v>293</v>
      </c>
      <c r="C19" s="170">
        <f>'Balance Sheet'!H42-'Balance Sheet'!G42</f>
        <v>-696.33333333333348</v>
      </c>
      <c r="D19" s="170">
        <f>'Balance Sheet'!I42-'Balance Sheet'!H42</f>
        <v>0</v>
      </c>
      <c r="E19" s="170">
        <f>'Balance Sheet'!J42-'Balance Sheet'!I42</f>
        <v>0</v>
      </c>
      <c r="F19" s="170">
        <f>'Balance Sheet'!K42-'Balance Sheet'!J42</f>
        <v>0</v>
      </c>
      <c r="G19" s="170">
        <f>'Balance Sheet'!L42-'Balance Sheet'!K42</f>
        <v>0</v>
      </c>
      <c r="J19"/>
      <c r="K19"/>
      <c r="L19"/>
      <c r="M19"/>
      <c r="N19"/>
      <c r="O19"/>
      <c r="P19"/>
    </row>
    <row r="20" spans="1:16" s="154" customFormat="1" x14ac:dyDescent="0.2">
      <c r="B20" s="159" t="s">
        <v>194</v>
      </c>
      <c r="C20" s="170">
        <f>'Balance Sheet'!H27-'Balance Sheet'!G27</f>
        <v>17.816858475057302</v>
      </c>
      <c r="D20" s="170">
        <f>'Balance Sheet'!I27-'Balance Sheet'!H27</f>
        <v>59.899211357020476</v>
      </c>
      <c r="E20" s="170">
        <f>'Balance Sheet'!J27-'Balance Sheet'!I27</f>
        <v>53.507611955877792</v>
      </c>
      <c r="F20" s="170">
        <f>'Balance Sheet'!K27-'Balance Sheet'!J27</f>
        <v>48.279970733672485</v>
      </c>
      <c r="G20" s="170">
        <f>'Balance Sheet'!L27-'Balance Sheet'!K27</f>
        <v>36.565111018041762</v>
      </c>
      <c r="J20"/>
      <c r="K20"/>
      <c r="L20"/>
      <c r="M20"/>
      <c r="N20"/>
      <c r="O20"/>
      <c r="P20"/>
    </row>
    <row r="21" spans="1:16" x14ac:dyDescent="0.2">
      <c r="B21" s="160" t="s">
        <v>72</v>
      </c>
      <c r="C21" s="30">
        <f>'Balance Sheet'!H33-'Balance Sheet'!G33</f>
        <v>22.577613613239805</v>
      </c>
      <c r="D21" s="30">
        <f>'Balance Sheet'!I33-'Balance Sheet'!H33</f>
        <v>49.640570878150356</v>
      </c>
      <c r="E21" s="30">
        <f>'Balance Sheet'!J33-'Balance Sheet'!I33</f>
        <v>45.084447700387159</v>
      </c>
      <c r="F21" s="30">
        <f>'Balance Sheet'!K33-'Balance Sheet'!J33</f>
        <v>41.382008675369775</v>
      </c>
      <c r="G21" s="30">
        <f>'Balance Sheet'!L33-'Balance Sheet'!K33</f>
        <v>32.498568171226111</v>
      </c>
    </row>
    <row r="22" spans="1:16" x14ac:dyDescent="0.2">
      <c r="B22" s="160" t="s">
        <v>270</v>
      </c>
      <c r="C22" s="30">
        <f>'Balance Sheet'!G17-'Balance Sheet'!H17</f>
        <v>-40.808782930733855</v>
      </c>
      <c r="D22" s="30">
        <f>'Balance Sheet'!H17-'Balance Sheet'!I17</f>
        <v>-43.564956003152929</v>
      </c>
      <c r="E22" s="30">
        <f>'Balance Sheet'!I17-'Balance Sheet'!J17</f>
        <v>-39.566466415444211</v>
      </c>
      <c r="F22" s="30">
        <f>'Balance Sheet'!J17-'Balance Sheet'!K17</f>
        <v>-36.317176764340729</v>
      </c>
      <c r="G22" s="30">
        <f>'Balance Sheet'!K17-'Balance Sheet'!L17</f>
        <v>-28.520999406316378</v>
      </c>
    </row>
    <row r="23" spans="1:16" x14ac:dyDescent="0.2">
      <c r="B23" s="154" t="s">
        <v>248</v>
      </c>
      <c r="C23" s="30">
        <f>'Balance Sheet'!H26-'Balance Sheet'!G26</f>
        <v>11.333333333333314</v>
      </c>
      <c r="D23" s="30">
        <f>'Balance Sheet'!I26-'Balance Sheet'!H26</f>
        <v>0</v>
      </c>
      <c r="E23" s="30">
        <f>'Balance Sheet'!J26-'Balance Sheet'!I26</f>
        <v>0</v>
      </c>
      <c r="F23" s="30">
        <f>'Balance Sheet'!K26-'Balance Sheet'!J26</f>
        <v>0</v>
      </c>
      <c r="G23" s="30">
        <f>'Balance Sheet'!L26-'Balance Sheet'!K26</f>
        <v>0</v>
      </c>
    </row>
    <row r="24" spans="1:16" x14ac:dyDescent="0.2">
      <c r="A24" t="s">
        <v>4</v>
      </c>
      <c r="B24" s="12" t="s">
        <v>126</v>
      </c>
      <c r="C24" s="31">
        <f>SUM(C11:C23,C5:C7)</f>
        <v>502.64796705152139</v>
      </c>
      <c r="D24" s="31">
        <f>SUM(D11:D23,D5:D7)</f>
        <v>1420.0183405045659</v>
      </c>
      <c r="E24" s="31">
        <f>SUM(E11:E23,E5:E7)</f>
        <v>1601.2798901395654</v>
      </c>
      <c r="F24" s="31">
        <f>SUM(F11:F23,F5:F7)</f>
        <v>1776.3760977465397</v>
      </c>
      <c r="G24" s="31">
        <f>SUM(G11:G23,G5:G7)</f>
        <v>1938.8777735411143</v>
      </c>
    </row>
    <row r="25" spans="1:16" x14ac:dyDescent="0.2">
      <c r="C25" s="29"/>
      <c r="D25" s="29"/>
      <c r="E25" s="29"/>
      <c r="F25" s="29"/>
      <c r="G25" s="29"/>
    </row>
    <row r="26" spans="1:16" x14ac:dyDescent="0.2">
      <c r="A26" t="s">
        <v>4</v>
      </c>
      <c r="B26" s="12" t="s">
        <v>127</v>
      </c>
      <c r="C26" s="29"/>
      <c r="D26" s="29"/>
      <c r="E26" s="29"/>
      <c r="F26" s="29"/>
      <c r="G26" s="29"/>
    </row>
    <row r="27" spans="1:16" x14ac:dyDescent="0.2">
      <c r="B27" s="157" t="s">
        <v>128</v>
      </c>
      <c r="C27" s="106">
        <f>-'Balance Sheet Build'!H19</f>
        <v>-149.58481120423028</v>
      </c>
      <c r="D27" s="106">
        <f>-'Balance Sheet Build'!I19</f>
        <v>-141.43627789710411</v>
      </c>
      <c r="E27" s="106">
        <f>-'Balance Sheet Build'!J19</f>
        <v>-130.14196829996854</v>
      </c>
      <c r="F27" s="106">
        <f>-'Balance Sheet Build'!K19</f>
        <v>-118.54679257891451</v>
      </c>
      <c r="G27" s="106">
        <f>-'Balance Sheet Build'!L19</f>
        <v>-93.534470951128128</v>
      </c>
    </row>
    <row r="28" spans="1:16" x14ac:dyDescent="0.2">
      <c r="B28" s="154" t="s">
        <v>244</v>
      </c>
      <c r="C28" s="106">
        <f>'Balance Sheet'!G14-'Balance Sheet'!H14</f>
        <v>0</v>
      </c>
      <c r="D28" s="106">
        <f>'Balance Sheet'!H14-'Balance Sheet'!I14</f>
        <v>0</v>
      </c>
      <c r="E28" s="106">
        <f>'Balance Sheet'!I14-'Balance Sheet'!J14</f>
        <v>0</v>
      </c>
      <c r="F28" s="106">
        <f>'Balance Sheet'!J14-'Balance Sheet'!K14</f>
        <v>0</v>
      </c>
      <c r="G28" s="106">
        <f>'Balance Sheet'!K14-'Balance Sheet'!L14</f>
        <v>0</v>
      </c>
    </row>
    <row r="29" spans="1:16" x14ac:dyDescent="0.2">
      <c r="A29" t="s">
        <v>4</v>
      </c>
      <c r="B29" s="12" t="s">
        <v>129</v>
      </c>
      <c r="C29" s="32">
        <f>SUM(C27:C28)</f>
        <v>-149.58481120423028</v>
      </c>
      <c r="D29" s="32">
        <f t="shared" ref="D29:G29" si="1">SUM(D27:D28)</f>
        <v>-141.43627789710411</v>
      </c>
      <c r="E29" s="32">
        <f t="shared" si="1"/>
        <v>-130.14196829996854</v>
      </c>
      <c r="F29" s="32">
        <f t="shared" si="1"/>
        <v>-118.54679257891451</v>
      </c>
      <c r="G29" s="32">
        <f t="shared" si="1"/>
        <v>-93.534470951128128</v>
      </c>
    </row>
    <row r="30" spans="1:16" x14ac:dyDescent="0.2">
      <c r="C30" s="29"/>
      <c r="D30" s="29"/>
      <c r="E30" s="29"/>
      <c r="F30" s="29"/>
      <c r="G30" s="29"/>
    </row>
    <row r="31" spans="1:16" x14ac:dyDescent="0.2">
      <c r="A31" t="s">
        <v>4</v>
      </c>
      <c r="B31" s="12" t="s">
        <v>130</v>
      </c>
      <c r="C31" s="29"/>
      <c r="D31" s="29"/>
      <c r="E31" s="29"/>
      <c r="F31" s="29"/>
      <c r="G31" s="29"/>
    </row>
    <row r="32" spans="1:16" x14ac:dyDescent="0.2">
      <c r="B32" s="13" t="s">
        <v>195</v>
      </c>
      <c r="C32" s="20">
        <f>'Balance Sheet'!H28-'Balance Sheet'!G28</f>
        <v>72.354574786734929</v>
      </c>
      <c r="D32" s="20">
        <f>'Balance Sheet'!I28-'Balance Sheet'!H28</f>
        <v>53.248581796306439</v>
      </c>
      <c r="E32" s="20">
        <f>'Balance Sheet'!J28-'Balance Sheet'!I28</f>
        <v>48.361307266352242</v>
      </c>
      <c r="F32" s="20">
        <f>'Balance Sheet'!K28-'Balance Sheet'!J28</f>
        <v>44.389764961703577</v>
      </c>
      <c r="G32" s="20">
        <f>'Balance Sheet'!L28-'Balance Sheet'!K28</f>
        <v>34.860651981141245</v>
      </c>
    </row>
    <row r="33" spans="1:7" x14ac:dyDescent="0.2">
      <c r="B33" s="157" t="s">
        <v>49</v>
      </c>
      <c r="C33" s="30">
        <f>'Balance Sheet'!H32-'Balance Sheet'!G32</f>
        <v>1164.7570618997606</v>
      </c>
      <c r="D33" s="30">
        <f>'Balance Sheet'!I32-'Balance Sheet'!H32+D32</f>
        <v>455.62864164865493</v>
      </c>
      <c r="E33" s="30">
        <f>'Balance Sheet'!J32-'Balance Sheet'!I32+E32</f>
        <v>413.81002075157016</v>
      </c>
      <c r="F33" s="30">
        <f>'Balance Sheet'!K32-'Balance Sheet'!J32+F32</f>
        <v>379.82698562700421</v>
      </c>
      <c r="G33" s="30">
        <f>'Balance Sheet'!L32-'Balance Sheet'!K32+G32</f>
        <v>298.28985060885884</v>
      </c>
    </row>
    <row r="34" spans="1:7" x14ac:dyDescent="0.2">
      <c r="B34" s="157" t="s">
        <v>131</v>
      </c>
      <c r="C34" s="30">
        <f>-'Balance Sheet Build'!H67</f>
        <v>-358.56461707931464</v>
      </c>
      <c r="D34" s="30">
        <f>-'Balance Sheet Build'!I67</f>
        <v>-407.31781188537946</v>
      </c>
      <c r="E34" s="30">
        <f>-'Balance Sheet Build'!J67</f>
        <v>-454.83879377280664</v>
      </c>
      <c r="F34" s="30">
        <f>-'Balance Sheet Build'!K67</f>
        <v>-501.08143073319735</v>
      </c>
      <c r="G34" s="30">
        <f>-'Balance Sheet Build'!L67</f>
        <v>-542.16505020255534</v>
      </c>
    </row>
    <row r="35" spans="1:7" x14ac:dyDescent="0.2">
      <c r="B35" s="157" t="s">
        <v>132</v>
      </c>
      <c r="C35" s="30">
        <f>-'Balance Sheet Build'!H68</f>
        <v>-498.01517699714503</v>
      </c>
      <c r="D35" s="30">
        <f>-'Balance Sheet Build'!I68</f>
        <v>-536.42819381002948</v>
      </c>
      <c r="E35" s="30">
        <f>-'Balance Sheet Build'!J68</f>
        <v>-571.31557759466784</v>
      </c>
      <c r="F35" s="30">
        <f>-'Balance Sheet Build'!K68</f>
        <v>-603.33792880613589</v>
      </c>
      <c r="G35" s="30">
        <f>-'Balance Sheet Build'!L68</f>
        <v>-628.48606919759652</v>
      </c>
    </row>
    <row r="36" spans="1:7" x14ac:dyDescent="0.2">
      <c r="A36" t="s">
        <v>4</v>
      </c>
      <c r="B36" s="12" t="s">
        <v>133</v>
      </c>
      <c r="C36" s="31">
        <f>SUM(C32:C35)</f>
        <v>380.53184261003588</v>
      </c>
      <c r="D36" s="31">
        <f t="shared" ref="D36:G36" si="2">SUM(D33:D35)</f>
        <v>-488.11736404675401</v>
      </c>
      <c r="E36" s="31">
        <f t="shared" si="2"/>
        <v>-612.34435061590432</v>
      </c>
      <c r="F36" s="31">
        <f t="shared" si="2"/>
        <v>-724.59237391232909</v>
      </c>
      <c r="G36" s="31">
        <f t="shared" si="2"/>
        <v>-872.36126879129301</v>
      </c>
    </row>
    <row r="37" spans="1:7" x14ac:dyDescent="0.2">
      <c r="C37" s="29"/>
      <c r="D37" s="29"/>
      <c r="E37" s="29"/>
      <c r="F37" s="29"/>
      <c r="G37" s="29"/>
    </row>
    <row r="38" spans="1:7" x14ac:dyDescent="0.2">
      <c r="A38" t="s">
        <v>4</v>
      </c>
      <c r="B38" s="12" t="s">
        <v>134</v>
      </c>
      <c r="C38" s="33">
        <f>SUM(C36,C29,C24)</f>
        <v>733.59499845732694</v>
      </c>
      <c r="D38" s="33">
        <f>SUM(D36,D29,D24)</f>
        <v>790.4646985607078</v>
      </c>
      <c r="E38" s="33">
        <f>SUM(E36,E29,E24)</f>
        <v>858.79357122369254</v>
      </c>
      <c r="F38" s="33">
        <f>SUM(F36,F29,F24)</f>
        <v>933.2369312552961</v>
      </c>
      <c r="G38" s="33">
        <f>SUM(G36,G29,G24)</f>
        <v>972.98203379869312</v>
      </c>
    </row>
    <row r="40" spans="1:7" x14ac:dyDescent="0.2">
      <c r="C40" s="89">
        <f>'Balance Sheet'!H52</f>
        <v>0</v>
      </c>
      <c r="D40" s="89">
        <f>'Balance Sheet'!I52</f>
        <v>0</v>
      </c>
      <c r="E40" s="89">
        <f>'Balance Sheet'!J52</f>
        <v>0</v>
      </c>
      <c r="F40" s="89">
        <f>'Balance Sheet'!K52</f>
        <v>0</v>
      </c>
      <c r="G40" s="89">
        <f>'Balance Sheet'!L52</f>
        <v>0</v>
      </c>
    </row>
    <row r="41" spans="1:7" x14ac:dyDescent="0.2">
      <c r="D41" s="89"/>
    </row>
  </sheetData>
  <mergeCells count="1">
    <mergeCell ref="C1:G1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8FE1-BF72-DE4D-A8E2-024CF9EA50F5}">
  <dimension ref="A2:J38"/>
  <sheetViews>
    <sheetView showGridLines="0" workbookViewId="0">
      <selection activeCell="K20" sqref="K20"/>
    </sheetView>
  </sheetViews>
  <sheetFormatPr baseColWidth="10" defaultColWidth="11" defaultRowHeight="16" x14ac:dyDescent="0.2"/>
  <cols>
    <col min="1" max="1" width="2" bestFit="1" customWidth="1"/>
    <col min="2" max="2" width="14.33203125" bestFit="1" customWidth="1"/>
    <col min="3" max="3" width="14" bestFit="1" customWidth="1"/>
    <col min="4" max="8" width="10.5" bestFit="1" customWidth="1"/>
    <col min="9" max="9" width="6.83203125" bestFit="1" customWidth="1"/>
  </cols>
  <sheetData>
    <row r="2" spans="1:9" x14ac:dyDescent="0.2">
      <c r="A2" t="s">
        <v>4</v>
      </c>
      <c r="B2" s="14" t="s">
        <v>135</v>
      </c>
      <c r="C2" s="97">
        <v>2024</v>
      </c>
      <c r="D2" s="22">
        <f>C2+1</f>
        <v>2025</v>
      </c>
      <c r="E2" s="22">
        <f t="shared" ref="E2:H2" si="0">D2+1</f>
        <v>2026</v>
      </c>
      <c r="F2" s="22">
        <f t="shared" si="0"/>
        <v>2027</v>
      </c>
      <c r="G2" s="22">
        <f t="shared" si="0"/>
        <v>2028</v>
      </c>
      <c r="H2" s="22">
        <f t="shared" si="0"/>
        <v>2029</v>
      </c>
    </row>
    <row r="3" spans="1:9" x14ac:dyDescent="0.2">
      <c r="B3" t="s">
        <v>122</v>
      </c>
      <c r="C3" s="20">
        <f>'Income Statement Historical'!G28</f>
        <v>1254</v>
      </c>
      <c r="D3" s="20">
        <f>'Income Statement Historical'!H28</f>
        <v>1389.2978199237023</v>
      </c>
      <c r="E3" s="20">
        <f>'Income Statement Historical'!I28</f>
        <v>1578.1974046348141</v>
      </c>
      <c r="F3" s="20">
        <f>'Income Statement Historical'!J28</f>
        <v>1762.3226456432778</v>
      </c>
      <c r="G3" s="20">
        <f>'Income Statement Historical'!K28</f>
        <v>1941.4947994377585</v>
      </c>
      <c r="H3" s="20">
        <f>'Income Statement Historical'!L28</f>
        <v>2100.6777757957643</v>
      </c>
    </row>
    <row r="4" spans="1:9" x14ac:dyDescent="0.2">
      <c r="B4" t="s">
        <v>136</v>
      </c>
      <c r="C4" s="98">
        <f>'Income Statement Historical'!G37</f>
        <v>136008.67678958783</v>
      </c>
      <c r="D4" s="98">
        <f>'Income Statement Historical'!H37</f>
        <v>134083.52888526427</v>
      </c>
      <c r="E4" s="98">
        <f>'Income Statement Historical'!I37</f>
        <v>132185.63067221778</v>
      </c>
      <c r="F4" s="98">
        <f>'Income Statement Historical'!J37</f>
        <v>130314.59644207085</v>
      </c>
      <c r="G4" s="98">
        <f>'Income Statement Historical'!K37</f>
        <v>128470.04594599227</v>
      </c>
      <c r="H4" s="98">
        <f>'Income Statement Historical'!L37</f>
        <v>126651.60431741954</v>
      </c>
    </row>
    <row r="5" spans="1:9" x14ac:dyDescent="0.2">
      <c r="B5" t="s">
        <v>137</v>
      </c>
      <c r="C5" s="89">
        <f>(C3/C4)*1000</f>
        <v>9.2200000000000006</v>
      </c>
      <c r="D5" s="89">
        <f t="shared" ref="D5:H5" si="1">(D3/D4)*1000</f>
        <v>10.361435378931063</v>
      </c>
      <c r="E5" s="89">
        <f t="shared" si="1"/>
        <v>11.939250859636084</v>
      </c>
      <c r="F5" s="89">
        <f t="shared" si="1"/>
        <v>13.523601298390918</v>
      </c>
      <c r="G5" s="89">
        <f t="shared" si="1"/>
        <v>15.112431735674374</v>
      </c>
      <c r="H5" s="89">
        <f t="shared" si="1"/>
        <v>16.586270557860111</v>
      </c>
    </row>
    <row r="7" spans="1:9" x14ac:dyDescent="0.2">
      <c r="B7" t="s">
        <v>138</v>
      </c>
      <c r="C7" s="99">
        <v>178.33</v>
      </c>
    </row>
    <row r="8" spans="1:9" x14ac:dyDescent="0.2">
      <c r="B8" t="s">
        <v>139</v>
      </c>
      <c r="C8" s="100">
        <v>16.829999999999998</v>
      </c>
    </row>
    <row r="9" spans="1:9" x14ac:dyDescent="0.2">
      <c r="B9" t="s">
        <v>140</v>
      </c>
      <c r="C9" s="100">
        <v>16.309999999999999</v>
      </c>
    </row>
    <row r="11" spans="1:9" x14ac:dyDescent="0.2">
      <c r="B11" t="s">
        <v>141</v>
      </c>
      <c r="D11" s="95">
        <f>$C$9*D5</f>
        <v>168.99501103036562</v>
      </c>
      <c r="E11" s="95">
        <f t="shared" ref="E11:H11" si="2">$C$9*E5</f>
        <v>194.72918152066453</v>
      </c>
      <c r="F11" s="95">
        <f t="shared" si="2"/>
        <v>220.56993717675587</v>
      </c>
      <c r="G11" s="95">
        <f t="shared" si="2"/>
        <v>246.48376160884902</v>
      </c>
      <c r="H11" s="95">
        <f t="shared" si="2"/>
        <v>270.52207279869839</v>
      </c>
    </row>
    <row r="13" spans="1:9" x14ac:dyDescent="0.2">
      <c r="B13" s="91"/>
      <c r="C13" s="103">
        <v>2024</v>
      </c>
      <c r="D13" s="104">
        <f>C13+1</f>
        <v>2025</v>
      </c>
      <c r="E13" s="104">
        <f t="shared" ref="E13:H13" si="3">D13+1</f>
        <v>2026</v>
      </c>
      <c r="F13" s="104">
        <f t="shared" si="3"/>
        <v>2027</v>
      </c>
      <c r="G13" s="104">
        <f t="shared" si="3"/>
        <v>2028</v>
      </c>
      <c r="H13" s="104">
        <f t="shared" si="3"/>
        <v>2029</v>
      </c>
      <c r="I13" s="94" t="s">
        <v>135</v>
      </c>
    </row>
    <row r="14" spans="1:9" x14ac:dyDescent="0.2">
      <c r="B14" s="92" t="s">
        <v>142</v>
      </c>
      <c r="C14" s="95">
        <f>-$C$7</f>
        <v>-178.33</v>
      </c>
      <c r="D14" s="95">
        <f>D11</f>
        <v>168.99501103036562</v>
      </c>
      <c r="E14" s="95"/>
      <c r="F14" s="95"/>
      <c r="G14" s="95"/>
      <c r="H14" s="95"/>
      <c r="I14" s="101">
        <f>IRR(C14:D14)</f>
        <v>-5.2346710983201761E-2</v>
      </c>
    </row>
    <row r="15" spans="1:9" x14ac:dyDescent="0.2">
      <c r="B15" s="92"/>
      <c r="C15" s="95">
        <f t="shared" ref="C15:C18" si="4">-$C$7</f>
        <v>-178.33</v>
      </c>
      <c r="D15" s="95"/>
      <c r="E15" s="95">
        <f>E11</f>
        <v>194.72918152066453</v>
      </c>
      <c r="F15" s="95"/>
      <c r="G15" s="95"/>
      <c r="H15" s="95"/>
      <c r="I15" s="101">
        <f>IRR(C15:E15)</f>
        <v>9.1959746092438177E-2</v>
      </c>
    </row>
    <row r="16" spans="1:9" x14ac:dyDescent="0.2">
      <c r="B16" s="92"/>
      <c r="C16" s="95">
        <f t="shared" si="4"/>
        <v>-178.33</v>
      </c>
      <c r="D16" s="95"/>
      <c r="E16" s="95"/>
      <c r="F16" s="95">
        <f>F11</f>
        <v>220.56993717675587</v>
      </c>
      <c r="G16" s="95"/>
      <c r="H16" s="95"/>
      <c r="I16" s="101">
        <f>IRR(C16:F16)</f>
        <v>0.23686388816663384</v>
      </c>
    </row>
    <row r="17" spans="1:10" x14ac:dyDescent="0.2">
      <c r="B17" s="92"/>
      <c r="C17" s="95">
        <f t="shared" si="4"/>
        <v>-178.33</v>
      </c>
      <c r="D17" s="95"/>
      <c r="E17" s="95"/>
      <c r="F17" s="95"/>
      <c r="G17" s="95">
        <f>G11</f>
        <v>246.48376160884902</v>
      </c>
      <c r="H17" s="95"/>
      <c r="I17" s="101">
        <f>IRR(C17:G17)</f>
        <v>0.38217776935372094</v>
      </c>
    </row>
    <row r="18" spans="1:10" ht="20" customHeight="1" x14ac:dyDescent="0.2">
      <c r="B18" s="93"/>
      <c r="C18" s="96">
        <f t="shared" si="4"/>
        <v>-178.33</v>
      </c>
      <c r="D18" s="96"/>
      <c r="E18" s="96"/>
      <c r="F18" s="96"/>
      <c r="G18" s="96"/>
      <c r="H18" s="96">
        <f>H11</f>
        <v>270.52207279869839</v>
      </c>
      <c r="I18" s="102">
        <f>IRR(C18:H18)</f>
        <v>0.51697455727414554</v>
      </c>
    </row>
    <row r="19" spans="1:10" x14ac:dyDescent="0.2">
      <c r="C19" s="90"/>
    </row>
    <row r="20" spans="1:10" x14ac:dyDescent="0.2">
      <c r="I20" s="132"/>
    </row>
    <row r="21" spans="1:10" x14ac:dyDescent="0.2">
      <c r="A21" t="s">
        <v>4</v>
      </c>
      <c r="B21" s="14" t="s">
        <v>295</v>
      </c>
      <c r="C21" s="97">
        <v>2024</v>
      </c>
      <c r="D21" s="22">
        <f>C21+1</f>
        <v>2025</v>
      </c>
      <c r="E21" s="22">
        <f t="shared" ref="E21" si="5">D21+1</f>
        <v>2026</v>
      </c>
      <c r="F21" s="22">
        <f t="shared" ref="F21" si="6">E21+1</f>
        <v>2027</v>
      </c>
      <c r="G21" s="22">
        <f t="shared" ref="G21" si="7">F21+1</f>
        <v>2028</v>
      </c>
      <c r="H21" s="22">
        <f t="shared" ref="H21" si="8">G21+1</f>
        <v>2029</v>
      </c>
    </row>
    <row r="22" spans="1:10" x14ac:dyDescent="0.2">
      <c r="B22" s="212" t="s">
        <v>296</v>
      </c>
      <c r="C22" s="90">
        <f>C7</f>
        <v>178.33</v>
      </c>
      <c r="D22" s="95">
        <f>D11</f>
        <v>168.99501103036562</v>
      </c>
      <c r="E22" s="95">
        <f t="shared" ref="E22:H22" si="9">E11</f>
        <v>194.72918152066453</v>
      </c>
      <c r="F22" s="95">
        <f t="shared" si="9"/>
        <v>220.56993717675587</v>
      </c>
      <c r="G22" s="95">
        <f t="shared" si="9"/>
        <v>246.48376160884902</v>
      </c>
      <c r="H22" s="95">
        <f t="shared" si="9"/>
        <v>270.52207279869839</v>
      </c>
    </row>
    <row r="23" spans="1:10" x14ac:dyDescent="0.2">
      <c r="B23" s="212" t="s">
        <v>297</v>
      </c>
      <c r="C23" s="89">
        <f>C22*C4/1000</f>
        <v>24254.4273318872</v>
      </c>
      <c r="D23" s="89">
        <f t="shared" ref="D23:H23" si="10">D22*D4/1000</f>
        <v>22659.447442955585</v>
      </c>
      <c r="E23" s="89">
        <f t="shared" si="10"/>
        <v>25740.399669593819</v>
      </c>
      <c r="F23" s="89">
        <f t="shared" si="10"/>
        <v>28743.482350441864</v>
      </c>
      <c r="G23" s="89">
        <f t="shared" si="10"/>
        <v>31665.780178829842</v>
      </c>
      <c r="H23" s="89">
        <f t="shared" si="10"/>
        <v>34262.054523228915</v>
      </c>
      <c r="J23" s="135"/>
    </row>
    <row r="24" spans="1:10" x14ac:dyDescent="0.2">
      <c r="B24" s="212" t="s">
        <v>298</v>
      </c>
      <c r="C24" s="4">
        <f>'Balance Sheet'!G32-'Balance Sheet'!G6</f>
        <v>3109</v>
      </c>
      <c r="D24" s="4">
        <f>'Balance Sheet'!H32-'Balance Sheet'!H6</f>
        <v>3540.1620634424335</v>
      </c>
      <c r="E24" s="4">
        <f>'Balance Sheet'!I32-'Balance Sheet'!I6</f>
        <v>3152.0774247340742</v>
      </c>
      <c r="F24" s="4">
        <f>'Balance Sheet'!J32-'Balance Sheet'!J6</f>
        <v>2658.7325669955994</v>
      </c>
      <c r="G24" s="4">
        <f>'Balance Sheet'!K32-'Balance Sheet'!K6</f>
        <v>2060.9328564056041</v>
      </c>
      <c r="H24" s="4">
        <f>'Balance Sheet'!L32-'Balance Sheet'!L6</f>
        <v>1351.3800212346287</v>
      </c>
    </row>
    <row r="25" spans="1:10" x14ac:dyDescent="0.2">
      <c r="B25" s="212" t="s">
        <v>299</v>
      </c>
      <c r="C25" s="89">
        <f>C23-C24</f>
        <v>21145.4273318872</v>
      </c>
      <c r="D25" s="89">
        <f t="shared" ref="D25:H25" si="11">D23-D24</f>
        <v>19119.285379513152</v>
      </c>
      <c r="E25" s="89">
        <f t="shared" si="11"/>
        <v>22588.322244859744</v>
      </c>
      <c r="F25" s="89">
        <f t="shared" si="11"/>
        <v>26084.749783446263</v>
      </c>
      <c r="G25" s="89">
        <f t="shared" si="11"/>
        <v>29604.847322424237</v>
      </c>
      <c r="H25" s="89">
        <f t="shared" si="11"/>
        <v>32910.67450199429</v>
      </c>
    </row>
    <row r="26" spans="1:10" x14ac:dyDescent="0.2">
      <c r="B26" s="212" t="s">
        <v>300</v>
      </c>
      <c r="C26" s="4">
        <f>'Income Statement Historical'!G16+'Balance Sheet Build'!G20</f>
        <v>1918</v>
      </c>
      <c r="D26" s="4">
        <f>'Income Statement Historical'!H16+'Balance Sheet Build'!H20</f>
        <v>2098.0103046366571</v>
      </c>
      <c r="E26" s="4">
        <f>'Income Statement Historical'!I16+'Balance Sheet Build'!I20</f>
        <v>2353.3903471474555</v>
      </c>
      <c r="F26" s="4">
        <f>'Income Statement Historical'!J16+'Balance Sheet Build'!J20</f>
        <v>2581.2455938899748</v>
      </c>
      <c r="G26" s="4">
        <f>'Income Statement Historical'!K16+'Balance Sheet Build'!K20</f>
        <v>2806.0288616689554</v>
      </c>
      <c r="H26" s="4">
        <f>'Income Statement Historical'!L16+'Balance Sheet Build'!L20</f>
        <v>3002.2776634037609</v>
      </c>
    </row>
    <row r="27" spans="1:10" x14ac:dyDescent="0.2">
      <c r="B27" s="213" t="s">
        <v>301</v>
      </c>
      <c r="C27">
        <f>C25/C26</f>
        <v>11.024727493163295</v>
      </c>
      <c r="D27">
        <f t="shared" ref="D27:H27" si="12">D25/D26</f>
        <v>9.113055992746574</v>
      </c>
      <c r="E27">
        <f t="shared" si="12"/>
        <v>9.5982046804258587</v>
      </c>
      <c r="F27">
        <f t="shared" si="12"/>
        <v>10.105489320811262</v>
      </c>
      <c r="G27">
        <f t="shared" si="12"/>
        <v>10.550442914837312</v>
      </c>
      <c r="H27">
        <f t="shared" si="12"/>
        <v>10.961902326076862</v>
      </c>
    </row>
    <row r="29" spans="1:10" x14ac:dyDescent="0.2">
      <c r="B29" s="212" t="s">
        <v>138</v>
      </c>
      <c r="C29" s="99">
        <f>C7</f>
        <v>178.33</v>
      </c>
    </row>
    <row r="30" spans="1:10" x14ac:dyDescent="0.2">
      <c r="B30" s="212"/>
    </row>
    <row r="31" spans="1:10" x14ac:dyDescent="0.2">
      <c r="B31" s="212" t="s">
        <v>141</v>
      </c>
      <c r="D31" s="89">
        <f>(D26*D27)/D4*1000</f>
        <v>142.59234925024674</v>
      </c>
      <c r="E31" s="89">
        <f t="shared" ref="E31:H31" si="13">(E26*E27)/E4*1000</f>
        <v>170.88334132831932</v>
      </c>
      <c r="F31" s="89">
        <f t="shared" si="13"/>
        <v>200.16752148744752</v>
      </c>
      <c r="G31" s="89">
        <f t="shared" si="13"/>
        <v>230.44163411344826</v>
      </c>
      <c r="H31" s="89">
        <f t="shared" si="13"/>
        <v>259.85201434568631</v>
      </c>
    </row>
    <row r="33" spans="2:9" x14ac:dyDescent="0.2">
      <c r="B33" s="91"/>
      <c r="C33" s="103">
        <v>2024</v>
      </c>
      <c r="D33" s="104">
        <f>C33+1</f>
        <v>2025</v>
      </c>
      <c r="E33" s="104">
        <f t="shared" ref="E33" si="14">D33+1</f>
        <v>2026</v>
      </c>
      <c r="F33" s="104">
        <f t="shared" ref="F33" si="15">E33+1</f>
        <v>2027</v>
      </c>
      <c r="G33" s="104">
        <f t="shared" ref="G33" si="16">F33+1</f>
        <v>2028</v>
      </c>
      <c r="H33" s="104">
        <f t="shared" ref="H33" si="17">G33+1</f>
        <v>2029</v>
      </c>
      <c r="I33" s="94" t="s">
        <v>135</v>
      </c>
    </row>
    <row r="34" spans="2:9" x14ac:dyDescent="0.2">
      <c r="B34" s="92" t="s">
        <v>142</v>
      </c>
      <c r="C34" s="95">
        <f>-$C$7</f>
        <v>-178.33</v>
      </c>
      <c r="D34" s="95">
        <f>D31</f>
        <v>142.59234925024674</v>
      </c>
      <c r="E34" s="95"/>
      <c r="F34" s="95"/>
      <c r="G34" s="95"/>
      <c r="H34" s="95"/>
      <c r="I34" s="101">
        <f>IRR(C34:D34)</f>
        <v>-0.20040178741520387</v>
      </c>
    </row>
    <row r="35" spans="2:9" x14ac:dyDescent="0.2">
      <c r="B35" s="92"/>
      <c r="C35" s="95">
        <f t="shared" ref="C35:C38" si="18">-$C$7</f>
        <v>-178.33</v>
      </c>
      <c r="D35" s="95"/>
      <c r="E35" s="95">
        <f>E31</f>
        <v>170.88334132831932</v>
      </c>
      <c r="F35" s="95"/>
      <c r="G35" s="95"/>
      <c r="H35" s="95"/>
      <c r="I35" s="101">
        <f>IRR(C35:E35)</f>
        <v>-4.1757745032696136E-2</v>
      </c>
    </row>
    <row r="36" spans="2:9" x14ac:dyDescent="0.2">
      <c r="B36" s="92"/>
      <c r="C36" s="95">
        <f t="shared" si="18"/>
        <v>-178.33</v>
      </c>
      <c r="D36" s="95"/>
      <c r="E36" s="95"/>
      <c r="F36" s="95">
        <f>F31</f>
        <v>200.16752148744752</v>
      </c>
      <c r="G36" s="95"/>
      <c r="H36" s="95"/>
      <c r="I36" s="101">
        <f>IRR(C36:F36)</f>
        <v>0.12245568040961996</v>
      </c>
    </row>
    <row r="37" spans="2:9" x14ac:dyDescent="0.2">
      <c r="B37" s="92"/>
      <c r="C37" s="95">
        <f t="shared" si="18"/>
        <v>-178.33</v>
      </c>
      <c r="D37" s="95"/>
      <c r="E37" s="95"/>
      <c r="F37" s="95"/>
      <c r="G37" s="95">
        <f>G31</f>
        <v>230.44163411344826</v>
      </c>
      <c r="H37" s="95"/>
      <c r="I37" s="101">
        <f>IRR(C37:G37)</f>
        <v>0.2922202327900425</v>
      </c>
    </row>
    <row r="38" spans="2:9" x14ac:dyDescent="0.2">
      <c r="B38" s="93"/>
      <c r="C38" s="96">
        <f t="shared" si="18"/>
        <v>-178.33</v>
      </c>
      <c r="D38" s="96"/>
      <c r="E38" s="96"/>
      <c r="F38" s="96"/>
      <c r="G38" s="96"/>
      <c r="H38" s="96">
        <f>H31</f>
        <v>259.85201434568631</v>
      </c>
      <c r="I38" s="102">
        <f>IRR(C38:H38)</f>
        <v>0.45714133542133295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2959-A934-F34F-A57F-DC7B6F60B415}">
  <dimension ref="A1:J21"/>
  <sheetViews>
    <sheetView showGridLines="0" workbookViewId="0">
      <selection activeCell="J16" sqref="J16"/>
    </sheetView>
  </sheetViews>
  <sheetFormatPr baseColWidth="10" defaultRowHeight="16" x14ac:dyDescent="0.2"/>
  <cols>
    <col min="1" max="1" width="16.33203125" bestFit="1" customWidth="1"/>
    <col min="2" max="2" width="12.5" bestFit="1" customWidth="1"/>
    <col min="3" max="6" width="10.5" bestFit="1" customWidth="1"/>
    <col min="9" max="9" width="23.33203125" bestFit="1" customWidth="1"/>
    <col min="10" max="10" width="12.1640625" bestFit="1" customWidth="1"/>
    <col min="18" max="18" width="12.83203125" bestFit="1" customWidth="1"/>
  </cols>
  <sheetData>
    <row r="1" spans="1:10" x14ac:dyDescent="0.2">
      <c r="A1" s="14" t="s">
        <v>143</v>
      </c>
      <c r="B1" s="218" t="s">
        <v>2</v>
      </c>
      <c r="C1" s="218"/>
      <c r="D1" s="218" t="s">
        <v>2</v>
      </c>
      <c r="E1" s="218"/>
      <c r="F1" s="218"/>
      <c r="I1" s="14" t="s">
        <v>147</v>
      </c>
      <c r="J1" s="109"/>
    </row>
    <row r="2" spans="1:10" x14ac:dyDescent="0.2">
      <c r="A2" s="14"/>
      <c r="B2" s="22">
        <v>2025</v>
      </c>
      <c r="C2" s="22">
        <f>B2+1</f>
        <v>2026</v>
      </c>
      <c r="D2" s="22">
        <f t="shared" ref="D2:F2" si="0">C2+1</f>
        <v>2027</v>
      </c>
      <c r="E2" s="22">
        <f t="shared" si="0"/>
        <v>2028</v>
      </c>
      <c r="F2" s="22">
        <f t="shared" si="0"/>
        <v>2029</v>
      </c>
      <c r="I2" s="92" t="s">
        <v>148</v>
      </c>
      <c r="J2" s="111">
        <v>45889</v>
      </c>
    </row>
    <row r="3" spans="1:10" x14ac:dyDescent="0.2">
      <c r="A3" t="s">
        <v>144</v>
      </c>
      <c r="B3" s="30">
        <f>'Cash Flow Statement'!C38</f>
        <v>733.59499845732694</v>
      </c>
      <c r="C3" s="30">
        <f>'Cash Flow Statement'!D38</f>
        <v>790.4646985607078</v>
      </c>
      <c r="D3" s="30">
        <f>'Cash Flow Statement'!E38</f>
        <v>858.79357122369254</v>
      </c>
      <c r="E3" s="30">
        <f>'Cash Flow Statement'!F38</f>
        <v>933.2369312552961</v>
      </c>
      <c r="F3" s="30">
        <f>'Cash Flow Statement'!G38</f>
        <v>972.98203379869312</v>
      </c>
      <c r="I3" s="92" t="s">
        <v>149</v>
      </c>
      <c r="J3" s="111">
        <v>46025</v>
      </c>
    </row>
    <row r="4" spans="1:10" x14ac:dyDescent="0.2">
      <c r="A4" s="110" t="s">
        <v>145</v>
      </c>
      <c r="B4" s="112">
        <f>-'Cash Flow Statement'!C34</f>
        <v>358.56461707931464</v>
      </c>
      <c r="C4" s="112">
        <f>-'Cash Flow Statement'!D34</f>
        <v>407.31781188537946</v>
      </c>
      <c r="D4" s="112">
        <f>-'Cash Flow Statement'!E34</f>
        <v>454.83879377280664</v>
      </c>
      <c r="E4" s="112">
        <f>-'Cash Flow Statement'!F34</f>
        <v>501.08143073319735</v>
      </c>
      <c r="F4" s="112">
        <f>-'Cash Flow Statement'!G34</f>
        <v>542.16505020255534</v>
      </c>
      <c r="I4" s="93" t="s">
        <v>150</v>
      </c>
      <c r="J4" s="122">
        <v>2.4E-2</v>
      </c>
    </row>
    <row r="5" spans="1:10" x14ac:dyDescent="0.2">
      <c r="A5" s="12" t="s">
        <v>146</v>
      </c>
      <c r="B5" s="33">
        <f>SUM(B3:B4)</f>
        <v>1092.1596155366415</v>
      </c>
      <c r="C5" s="33">
        <f t="shared" ref="C5:E5" si="1">SUM(C3:C4)</f>
        <v>1197.7825104460871</v>
      </c>
      <c r="D5" s="33">
        <f t="shared" si="1"/>
        <v>1313.6323649964993</v>
      </c>
      <c r="E5" s="33">
        <f t="shared" si="1"/>
        <v>1434.3183619884935</v>
      </c>
      <c r="F5" s="33">
        <f>SUM(F3:F4)</f>
        <v>1515.1470840012485</v>
      </c>
    </row>
    <row r="6" spans="1:10" x14ac:dyDescent="0.2">
      <c r="I6" t="s">
        <v>155</v>
      </c>
    </row>
    <row r="7" spans="1:10" x14ac:dyDescent="0.2">
      <c r="I7" s="114" t="s">
        <v>151</v>
      </c>
      <c r="J7" s="115"/>
    </row>
    <row r="8" spans="1:10" x14ac:dyDescent="0.2">
      <c r="I8" s="92" t="s">
        <v>152</v>
      </c>
      <c r="J8" s="116">
        <v>4.3279999999999999E-2</v>
      </c>
    </row>
    <row r="9" spans="1:10" x14ac:dyDescent="0.2">
      <c r="A9" s="119" t="s">
        <v>158</v>
      </c>
      <c r="B9" s="120">
        <f>YEARFRAC(J2,J3)</f>
        <v>0.36944444444444446</v>
      </c>
      <c r="C9" s="120">
        <f>B9+1</f>
        <v>1.3694444444444445</v>
      </c>
      <c r="D9" s="120">
        <f>C9+1</f>
        <v>2.3694444444444445</v>
      </c>
      <c r="E9" s="120">
        <f t="shared" ref="E9:F9" si="2">D9+1</f>
        <v>3.3694444444444445</v>
      </c>
      <c r="F9" s="120">
        <f t="shared" si="2"/>
        <v>4.3694444444444445</v>
      </c>
      <c r="I9" s="92" t="s">
        <v>153</v>
      </c>
      <c r="J9" s="117">
        <v>0.66</v>
      </c>
    </row>
    <row r="10" spans="1:10" x14ac:dyDescent="0.2">
      <c r="A10" t="s">
        <v>159</v>
      </c>
      <c r="B10" s="121">
        <f>(B5/(1+$J$11)^B9)</f>
        <v>1063.9302669151818</v>
      </c>
      <c r="C10" s="121">
        <f>(C5/(1+$J$11)^C9)</f>
        <v>1086.9788491777151</v>
      </c>
      <c r="D10" s="121">
        <f t="shared" ref="D10:F10" si="3">(D5/(1+$J$11)^D9)</f>
        <v>1110.5370238738185</v>
      </c>
      <c r="E10" s="121">
        <f t="shared" si="3"/>
        <v>1129.5899923882359</v>
      </c>
      <c r="F10" s="121">
        <f t="shared" si="3"/>
        <v>1111.5938825401884</v>
      </c>
      <c r="I10" s="92" t="s">
        <v>154</v>
      </c>
      <c r="J10" s="116">
        <v>8.8999999999999996E-2</v>
      </c>
    </row>
    <row r="11" spans="1:10" x14ac:dyDescent="0.2">
      <c r="I11" s="93" t="s">
        <v>151</v>
      </c>
      <c r="J11" s="118">
        <f>J8+J9*(J10-J8)</f>
        <v>7.3455199999999998E-2</v>
      </c>
    </row>
    <row r="16" spans="1:10" x14ac:dyDescent="0.2">
      <c r="A16" s="14" t="s">
        <v>156</v>
      </c>
      <c r="B16" s="109"/>
    </row>
    <row r="17" spans="1:4" x14ac:dyDescent="0.2">
      <c r="A17" t="s">
        <v>157</v>
      </c>
      <c r="B17" s="124">
        <f>(F5*(1+J4))/(J11-J4)</f>
        <v>31372.042050528122</v>
      </c>
    </row>
    <row r="18" spans="1:4" x14ac:dyDescent="0.2">
      <c r="A18" t="s">
        <v>160</v>
      </c>
      <c r="B18" s="124">
        <f>B17/(1+J11)^F9</f>
        <v>23016.22752958542</v>
      </c>
      <c r="D18" s="113"/>
    </row>
    <row r="19" spans="1:4" x14ac:dyDescent="0.2">
      <c r="A19" t="s">
        <v>161</v>
      </c>
      <c r="B19" s="124">
        <f>SUM(B10:F10,B18)</f>
        <v>28518.857544480561</v>
      </c>
    </row>
    <row r="20" spans="1:4" x14ac:dyDescent="0.2">
      <c r="A20" t="s">
        <v>162</v>
      </c>
      <c r="B20" s="123">
        <f>'Income Statement Historical'!H37</f>
        <v>134083.52888526427</v>
      </c>
    </row>
    <row r="21" spans="1:4" x14ac:dyDescent="0.2">
      <c r="A21" t="s">
        <v>163</v>
      </c>
      <c r="B21" s="124">
        <f>B19/(B20/1000)</f>
        <v>212.69471188280141</v>
      </c>
    </row>
  </sheetData>
  <mergeCells count="1">
    <mergeCell ref="B1:F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 Historical</vt:lpstr>
      <vt:lpstr>Expense Build</vt:lpstr>
      <vt:lpstr>Revenue Build</vt:lpstr>
      <vt:lpstr>Revenue Mapping of old segments</vt:lpstr>
      <vt:lpstr>Balance Sheet Build</vt:lpstr>
      <vt:lpstr>Balance Sheet</vt:lpstr>
      <vt:lpstr>Cash Flow Statement</vt:lpstr>
      <vt:lpstr>IRR</vt:lpstr>
      <vt:lpstr>DCF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Grady Mason</dc:creator>
  <cp:keywords/>
  <dc:description/>
  <cp:lastModifiedBy>Jack Mason</cp:lastModifiedBy>
  <cp:revision/>
  <dcterms:created xsi:type="dcterms:W3CDTF">2025-02-11T00:06:17Z</dcterms:created>
  <dcterms:modified xsi:type="dcterms:W3CDTF">2025-12-23T05:06:36Z</dcterms:modified>
  <cp:category/>
  <cp:contentStatus/>
</cp:coreProperties>
</file>